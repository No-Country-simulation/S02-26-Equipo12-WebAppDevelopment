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_Prueba" sheetId="2" state="visible" r:id="rId2"/>
    <sheet xmlns:r="http://schemas.openxmlformats.org/officeDocument/2006/relationships" name="TestRail_Import" sheetId="3" state="visible" r:id="rId3"/>
    <sheet xmlns:r="http://schemas.openxmlformats.org/officeDocument/2006/relationships"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  <color rgb="00666666"/>
    </font>
    <font>
      <name val="Calibri"/>
      <color rgb="00000000"/>
      <sz val="10"/>
    </font>
    <font>
      <name val="Calibri"/>
      <b val="1"/>
      <color rgb="00FFFFFF"/>
      <sz val="12"/>
    </font>
    <font>
      <b val="1"/>
    </font>
    <font>
      <name val="Calibri"/>
      <b val="1"/>
      <color rgb="00FFFFFF"/>
      <sz val="11"/>
    </font>
    <font>
      <name val="Calibri"/>
      <color rgb="000000FF"/>
      <sz val="10"/>
    </font>
    <font>
      <b val="1"/>
      <color rgb="009C0006"/>
    </font>
    <font>
      <name val="Calibri"/>
      <color rgb="00008000"/>
      <sz val="10"/>
    </font>
    <font>
      <b val="1"/>
      <color rgb="00C65911"/>
    </font>
    <font>
      <name val="Calibri"/>
      <color rgb="007030A0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0F6E8C"/>
      </patternFill>
    </fill>
    <fill>
      <patternFill patternType="solid">
        <fgColor rgb="00DAEEF3"/>
      </patternFill>
    </fill>
    <fill>
      <patternFill patternType="solid">
        <fgColor rgb="00FDE9E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1F1F1F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wrapText="1"/>
    </xf>
    <xf numFmtId="0" fontId="4" fillId="4" borderId="1" pivotButton="0" quotePrefix="0" xfId="0"/>
    <xf numFmtId="0" fontId="5" fillId="0" borderId="1" pivotButton="0" quotePrefix="0" xfId="0"/>
    <xf numFmtId="0" fontId="0" fillId="5" borderId="1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10" borderId="1" pivotButton="0" quotePrefix="0" xfId="0"/>
    <xf numFmtId="0" fontId="3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CasosPrueba" displayName="tblCasosPrueba" ref="A1:T26" headerRowCount="1">
  <autoFilter ref="A1:T26"/>
  <tableColumns count="20">
    <tableColumn id="1" name="Case ID"/>
    <tableColumn id="2" name="Suite"/>
    <tableColumn id="3" name="Section"/>
    <tableColumn id="4" name="Feature / Module"/>
    <tableColumn id="5" name="Test Title"/>
    <tableColumn id="6" name="Objective"/>
    <tableColumn id="7" name="Type"/>
    <tableColumn id="8" name="Priority"/>
    <tableColumn id="9" name="Preconditions"/>
    <tableColumn id="10" name="Test Data"/>
    <tableColumn id="11" name="Steps"/>
    <tableColumn id="12" name="Expected Result"/>
    <tableColumn id="13" name="TestRail Template"/>
    <tableColumn id="14" name="TestRail Type"/>
    <tableColumn id="15" name="TestRail Priority"/>
    <tableColumn id="16" name="References"/>
    <tableColumn id="17" name="Design Status"/>
    <tableColumn id="18" name="Owner"/>
    <tableColumn id="19" name="Sprint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estRailImport" displayName="tblTestRailImport" ref="A1:L26" headerRowCount="1">
  <autoFilter ref="A1:L26"/>
  <tableColumns count="12">
    <tableColumn id="1" name="Title"/>
    <tableColumn id="2" name="Section"/>
    <tableColumn id="3" name="Template"/>
    <tableColumn id="4" name="Type"/>
    <tableColumn id="5" name="Priority"/>
    <tableColumn id="6" name="Preconditions"/>
    <tableColumn id="7" name="Steps"/>
    <tableColumn id="8" name="Expected Result"/>
    <tableColumn id="9" name="References"/>
    <tableColumn id="10" name="Milestone"/>
    <tableColumn id="11" name="Estimate"/>
    <tableColumn id="12" name="Automation 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Professional QA Test Cases Matrix – RiderFit / FitBot</t>
        </is>
      </c>
    </row>
    <row r="2">
      <c r="A2" s="19" t="n"/>
      <c r="B2" s="19" t="n"/>
      <c r="C2" s="19" t="n"/>
      <c r="D2" s="19" t="n"/>
      <c r="E2" s="19" t="n"/>
      <c r="F2" s="19" t="n"/>
      <c r="G2" s="19" t="n"/>
      <c r="H2" s="19" t="n"/>
    </row>
    <row r="4">
      <c r="A4" s="2" t="inlineStr">
        <is>
          <t>Proyecto</t>
        </is>
      </c>
      <c r="B4" s="3" t="inlineStr">
        <is>
          <t>RiderFit – Precision E-commerce for Equestrian Gear</t>
        </is>
      </c>
      <c r="C4" s="19" t="n"/>
      <c r="D4" s="19" t="n"/>
      <c r="E4" s="19" t="n"/>
      <c r="F4" s="19" t="n"/>
      <c r="G4" s="19" t="n"/>
      <c r="H4" s="19" t="n"/>
    </row>
    <row r="5">
      <c r="A5" s="2" t="inlineStr">
        <is>
          <t>Simulación</t>
        </is>
      </c>
      <c r="B5" s="3" t="inlineStr">
        <is>
          <t>No Country – simulación laboral sobre proyectos reales</t>
        </is>
      </c>
      <c r="C5" s="19" t="n"/>
      <c r="D5" s="19" t="n"/>
      <c r="E5" s="19" t="n"/>
      <c r="F5" s="19" t="n"/>
      <c r="G5" s="19" t="n"/>
      <c r="H5" s="19" t="n"/>
    </row>
    <row r="6">
      <c r="A6" s="2" t="inlineStr">
        <is>
          <t>Repositorio</t>
        </is>
      </c>
      <c r="B6" s="3" t="inlineStr">
        <is>
          <t>S02-26-Equipo12-WebAppDevelopment</t>
        </is>
      </c>
      <c r="C6" s="19" t="n"/>
      <c r="D6" s="19" t="n"/>
      <c r="E6" s="19" t="n"/>
      <c r="F6" s="19" t="n"/>
      <c r="G6" s="19" t="n"/>
      <c r="H6" s="19" t="n"/>
    </row>
    <row r="7">
      <c r="A7" s="2" t="inlineStr">
        <is>
          <t>Rol</t>
        </is>
      </c>
      <c r="B7" s="3" t="inlineStr">
        <is>
          <t>Quality Assurance (QA)</t>
        </is>
      </c>
      <c r="C7" s="19" t="n"/>
      <c r="D7" s="19" t="n"/>
      <c r="E7" s="19" t="n"/>
      <c r="F7" s="19" t="n"/>
      <c r="G7" s="19" t="n"/>
      <c r="H7" s="19" t="n"/>
    </row>
    <row r="8">
      <c r="A8" s="2" t="inlineStr">
        <is>
          <t>Metodología</t>
        </is>
      </c>
      <c r="B8" s="3" t="inlineStr">
        <is>
          <t>Scrum + GitHub Sprint + Gitflow</t>
        </is>
      </c>
      <c r="C8" s="19" t="n"/>
      <c r="D8" s="19" t="n"/>
      <c r="E8" s="19" t="n"/>
      <c r="F8" s="19" t="n"/>
      <c r="G8" s="19" t="n"/>
      <c r="H8" s="19" t="n"/>
    </row>
    <row r="9">
      <c r="A9" s="2" t="inlineStr">
        <is>
          <t>Base del documento</t>
        </is>
      </c>
      <c r="B9" s="3" t="inlineStr">
        <is>
          <t>Informe QA profesional, README, Issues, PR Reviews y validaciones funcionales</t>
        </is>
      </c>
      <c r="C9" s="19" t="n"/>
      <c r="D9" s="19" t="n"/>
      <c r="E9" s="19" t="n"/>
      <c r="F9" s="19" t="n"/>
      <c r="G9" s="19" t="n"/>
      <c r="H9" s="19" t="n"/>
    </row>
    <row r="10">
      <c r="A10" s="2" t="inlineStr">
        <is>
          <t>Objetivo</t>
        </is>
      </c>
      <c r="B10" s="3" t="inlineStr">
        <is>
          <t>Matriz profesional de casos de prueba lista para seguimiento interno y adaptación a importación en TestRail</t>
        </is>
      </c>
      <c r="C10" s="19" t="n"/>
      <c r="D10" s="19" t="n"/>
      <c r="E10" s="19" t="n"/>
      <c r="F10" s="19" t="n"/>
      <c r="G10" s="19" t="n"/>
      <c r="H10" s="19" t="n"/>
    </row>
    <row r="11">
      <c r="A11" s="2" t="inlineStr">
        <is>
          <t>Fecha de preparación</t>
        </is>
      </c>
      <c r="B11" s="3" t="inlineStr">
        <is>
          <t>2026-03-06</t>
        </is>
      </c>
      <c r="C11" s="19" t="n"/>
      <c r="D11" s="19" t="n"/>
      <c r="E11" s="19" t="n"/>
      <c r="F11" s="19" t="n"/>
      <c r="G11" s="19" t="n"/>
      <c r="H11" s="19" t="n"/>
    </row>
    <row r="14">
      <c r="A14" s="4" t="inlineStr">
        <is>
          <t>Resumen de cobertura</t>
        </is>
      </c>
      <c r="B14" s="19" t="n"/>
      <c r="D14" s="4" t="inlineStr">
        <is>
          <t>Notas de uso</t>
        </is>
      </c>
      <c r="E14" s="19" t="n"/>
      <c r="F14" s="19" t="n"/>
      <c r="G14" s="19" t="n"/>
      <c r="H14" s="19" t="n"/>
    </row>
    <row r="15">
      <c r="A15" s="5" t="inlineStr">
        <is>
          <t>Total de casos</t>
        </is>
      </c>
      <c r="B15" s="6">
        <f>COUNTA(Casos_Prueba!A2:A26)</f>
        <v/>
      </c>
      <c r="D15" s="3" t="inlineStr">
        <is>
          <t>• Hoja 'Casos_Prueba': matriz maestra editable para gestión QA.</t>
        </is>
      </c>
      <c r="E15" s="19" t="n"/>
      <c r="F15" s="19" t="n"/>
      <c r="G15" s="19" t="n"/>
      <c r="H15" s="19" t="n"/>
    </row>
    <row r="16">
      <c r="A16" s="5" t="inlineStr">
        <is>
          <t>Casos Alta prioridad</t>
        </is>
      </c>
      <c r="B16" s="6">
        <f>COUNTIF(Casos_Prueba!H2:H26,"Alta")</f>
        <v/>
      </c>
      <c r="D16" s="3" t="inlineStr">
        <is>
          <t>• Hoja 'TestRail_Import': columnas normalizadas para copiar/exportar a CSV e importar en TestRail.</t>
        </is>
      </c>
      <c r="E16" s="19" t="n"/>
      <c r="F16" s="19" t="n"/>
      <c r="G16" s="19" t="n"/>
      <c r="H16" s="19" t="n"/>
    </row>
    <row r="17">
      <c r="A17" s="5" t="inlineStr">
        <is>
          <t>Casos Crítica prioridad</t>
        </is>
      </c>
      <c r="B17" s="6">
        <f>COUNTIF(Casos_Prueba!H2:H26,"Crítica")</f>
        <v/>
      </c>
      <c r="D17" s="3" t="inlineStr">
        <is>
          <t>• Las columnas Q, R y S permiten trazabilidad por estado, owner y sprint.</t>
        </is>
      </c>
      <c r="E17" s="19" t="n"/>
      <c r="F17" s="19" t="n"/>
      <c r="G17" s="19" t="n"/>
      <c r="H17" s="19" t="n"/>
    </row>
    <row r="18">
      <c r="A18" s="5" t="inlineStr">
        <is>
          <t>Casos tipo API</t>
        </is>
      </c>
      <c r="B18" s="6">
        <f>COUNTIF(Casos_Prueba!N2:N26,"API")</f>
        <v/>
      </c>
      <c r="D18" s="3" t="inlineStr">
        <is>
          <t>• Los campos 'References' conectan el caso con README, issue, PR o módulo validado.</t>
        </is>
      </c>
      <c r="E18" s="19" t="n"/>
      <c r="F18" s="19" t="n"/>
      <c r="G18" s="19" t="n"/>
      <c r="H18" s="19" t="n"/>
    </row>
    <row r="19">
      <c r="A19" s="5" t="inlineStr">
        <is>
          <t>Casos tipo UI</t>
        </is>
      </c>
      <c r="B19" s="6">
        <f>COUNTIF(Casos_Prueba!N2:N26,"UI")</f>
        <v/>
      </c>
      <c r="D19" s="3" t="inlineStr">
        <is>
          <t>• Las prioridades siguen criterio QA senior: Crítica, Alta, Media, Baja.</t>
        </is>
      </c>
      <c r="E19" s="19" t="n"/>
      <c r="F19" s="19" t="n"/>
      <c r="G19" s="19" t="n"/>
      <c r="H19" s="19" t="n"/>
    </row>
    <row r="20">
      <c r="A20" s="5" t="inlineStr">
        <is>
          <t>Casos Integración</t>
        </is>
      </c>
      <c r="B20" s="6">
        <f>COUNTIF(Casos_Prueba!G2:G26,"Integración")</f>
        <v/>
      </c>
    </row>
    <row r="21">
      <c r="A21" s="5" t="inlineStr">
        <is>
          <t>Casos Seguridad</t>
        </is>
      </c>
      <c r="B21" s="6">
        <f>COUNTIF(Casos_Prueba!N2:N26,"Security")</f>
        <v/>
      </c>
    </row>
    <row r="22">
      <c r="A22" s="5" t="inlineStr">
        <is>
          <t>Casos listos para TestRail</t>
        </is>
      </c>
      <c r="B22" s="6">
        <f>COUNTIF(Casos_Prueba!Q2:Q26,"Ready")</f>
        <v/>
      </c>
    </row>
    <row r="24">
      <c r="A24" s="7" t="inlineStr">
        <is>
          <t>Trazabilidad recomendada</t>
        </is>
      </c>
      <c r="B24" s="19" t="n"/>
      <c r="C24" s="19" t="n"/>
      <c r="D24" s="19" t="n"/>
      <c r="E24" s="19" t="n"/>
      <c r="F24" s="19" t="n"/>
      <c r="G24" s="19" t="n"/>
      <c r="H24" s="19" t="n"/>
    </row>
    <row r="25">
      <c r="A25" s="5" t="inlineStr">
        <is>
          <t>Issue → Pull Request → Caso de Prueba → Evidencia → Estado en TestRail</t>
        </is>
      </c>
      <c r="B25" s="19" t="n"/>
      <c r="C25" s="19" t="n"/>
      <c r="D25" s="19" t="n"/>
      <c r="E25" s="19" t="n"/>
      <c r="F25" s="19" t="n"/>
      <c r="G25" s="19" t="n"/>
      <c r="H25" s="19" t="n"/>
    </row>
    <row r="26">
      <c r="A26" s="8" t="inlineStr">
        <is>
          <t>Este workbook está diseñado para mantener continuidad con reportes QA senior y facilitar migración a TestRail.</t>
        </is>
      </c>
      <c r="B26" s="19" t="n"/>
      <c r="C26" s="19" t="n"/>
      <c r="D26" s="19" t="n"/>
      <c r="E26" s="19" t="n"/>
      <c r="F26" s="19" t="n"/>
      <c r="G26" s="19" t="n"/>
      <c r="H26" s="19" t="n"/>
    </row>
  </sheetData>
  <mergeCells count="19">
    <mergeCell ref="B9:H9"/>
    <mergeCell ref="A24:H24"/>
    <mergeCell ref="D19:H19"/>
    <mergeCell ref="B6:H6"/>
    <mergeCell ref="B5:H5"/>
    <mergeCell ref="A25:H25"/>
    <mergeCell ref="B4:H4"/>
    <mergeCell ref="B7:H7"/>
    <mergeCell ref="D17:H17"/>
    <mergeCell ref="A26:H26"/>
    <mergeCell ref="D16:H16"/>
    <mergeCell ref="A14:B14"/>
    <mergeCell ref="B11:H11"/>
    <mergeCell ref="A1:H2"/>
    <mergeCell ref="D18:H18"/>
    <mergeCell ref="B8:H8"/>
    <mergeCell ref="D15:H15"/>
    <mergeCell ref="B10:H10"/>
    <mergeCell ref="D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5" customWidth="1" min="4" max="4"/>
    <col width="34" customWidth="1" min="5" max="5"/>
    <col width="28" customWidth="1" min="6" max="6"/>
    <col width="12" customWidth="1" min="7" max="7"/>
    <col width="10" customWidth="1" min="8" max="8"/>
    <col width="28" customWidth="1" min="9" max="9"/>
    <col width="24" customWidth="1" min="10" max="10"/>
    <col width="38" customWidth="1" min="11" max="11"/>
    <col width="34" customWidth="1" min="12" max="12"/>
    <col width="18" customWidth="1" min="13" max="13"/>
    <col width="16" customWidth="1" min="14" max="14"/>
    <col width="18" customWidth="1" min="15" max="15"/>
    <col width="28" customWidth="1" min="16" max="16"/>
    <col width="14" customWidth="1" min="17" max="17"/>
    <col width="12" customWidth="1" min="18" max="18"/>
    <col width="12" customWidth="1" min="19" max="19"/>
    <col width="22" customWidth="1" min="20" max="20"/>
  </cols>
  <sheetData>
    <row r="1" ht="32" customHeight="1">
      <c r="A1" s="9" t="inlineStr">
        <is>
          <t>Case ID</t>
        </is>
      </c>
      <c r="B1" s="9" t="inlineStr">
        <is>
          <t>Suite</t>
        </is>
      </c>
      <c r="C1" s="9" t="inlineStr">
        <is>
          <t>Section</t>
        </is>
      </c>
      <c r="D1" s="9" t="inlineStr">
        <is>
          <t>Feature / Module</t>
        </is>
      </c>
      <c r="E1" s="9" t="inlineStr">
        <is>
          <t>Test Title</t>
        </is>
      </c>
      <c r="F1" s="9" t="inlineStr">
        <is>
          <t>Objective</t>
        </is>
      </c>
      <c r="G1" s="9" t="inlineStr">
        <is>
          <t>Type</t>
        </is>
      </c>
      <c r="H1" s="9" t="inlineStr">
        <is>
          <t>Priority</t>
        </is>
      </c>
      <c r="I1" s="9" t="inlineStr">
        <is>
          <t>Preconditions</t>
        </is>
      </c>
      <c r="J1" s="9" t="inlineStr">
        <is>
          <t>Test Data</t>
        </is>
      </c>
      <c r="K1" s="9" t="inlineStr">
        <is>
          <t>Steps</t>
        </is>
      </c>
      <c r="L1" s="9" t="inlineStr">
        <is>
          <t>Expected Result</t>
        </is>
      </c>
      <c r="M1" s="9" t="inlineStr">
        <is>
          <t>TestRail Template</t>
        </is>
      </c>
      <c r="N1" s="9" t="inlineStr">
        <is>
          <t>TestRail Type</t>
        </is>
      </c>
      <c r="O1" s="9" t="inlineStr">
        <is>
          <t>TestRail Priority</t>
        </is>
      </c>
      <c r="P1" s="9" t="inlineStr">
        <is>
          <t>References</t>
        </is>
      </c>
      <c r="Q1" s="9" t="inlineStr">
        <is>
          <t>Design Status</t>
        </is>
      </c>
      <c r="R1" s="9" t="inlineStr">
        <is>
          <t>Owner</t>
        </is>
      </c>
      <c r="S1" s="9" t="inlineStr">
        <is>
          <t>Sprint</t>
        </is>
      </c>
      <c r="T1" s="9" t="inlineStr">
        <is>
          <t>Notes</t>
        </is>
      </c>
    </row>
    <row r="2">
      <c r="A2" s="10" t="inlineStr">
        <is>
          <t>RF-QA-001</t>
        </is>
      </c>
      <c r="B2" s="10" t="inlineStr">
        <is>
          <t>RiderFit Core</t>
        </is>
      </c>
      <c r="C2" s="10" t="inlineStr">
        <is>
          <t>Auth</t>
        </is>
      </c>
      <c r="D2" s="10" t="inlineStr">
        <is>
          <t>Backend/API - Auth Login JWT</t>
        </is>
      </c>
      <c r="E2" s="10" t="inlineStr">
        <is>
          <t>Login válido devuelve JWT y datos básicos del usuario</t>
        </is>
      </c>
      <c r="F2" s="10" t="inlineStr">
        <is>
          <t>Validar autenticación exitosa contra el endpoint de login.</t>
        </is>
      </c>
      <c r="G2" s="10" t="inlineStr">
        <is>
          <t>Funcional</t>
        </is>
      </c>
      <c r="H2" s="11" t="inlineStr">
        <is>
          <t>Crítica</t>
        </is>
      </c>
      <c r="I2" s="12" t="inlineStr">
        <is>
          <t>Usuario existente y endpoint de auth operativo.</t>
        </is>
      </c>
      <c r="J2" s="12" t="inlineStr">
        <is>
          <t>email válido / password válida</t>
        </is>
      </c>
      <c r="K2" s="12" t="inlineStr">
        <is>
          <t>1. Enviar POST /auth/login.
2. Verificar código HTTP.
3. Validar body de respuesta.
4. Confirmar presencia de token.</t>
        </is>
      </c>
      <c r="L2" s="10" t="inlineStr">
        <is>
          <t>HTTP 200. Respuesta incluye JWT, datos básicos del usuario y estructura JSON consistente.</t>
        </is>
      </c>
      <c r="M2" s="10" t="inlineStr">
        <is>
          <t>Test Case (Steps)</t>
        </is>
      </c>
      <c r="N2" s="10" t="inlineStr">
        <is>
          <t>API</t>
        </is>
      </c>
      <c r="O2" s="10" t="inlineStr">
        <is>
          <t>Critical</t>
        </is>
      </c>
      <c r="P2" s="10" t="inlineStr">
        <is>
          <t>Issue #22 / PR #45 / Swagger Auth</t>
        </is>
      </c>
      <c r="Q2" s="13" t="inlineStr">
        <is>
          <t>Ready</t>
        </is>
      </c>
      <c r="R2" s="10" t="inlineStr">
        <is>
          <t>Alejandro</t>
        </is>
      </c>
      <c r="S2" s="10" t="inlineStr">
        <is>
          <t>Sprint QA</t>
        </is>
      </c>
      <c r="T2" s="10" t="inlineStr">
        <is>
          <t>Caso clave de acceso al sistema</t>
        </is>
      </c>
    </row>
    <row r="3">
      <c r="A3" s="10" t="inlineStr">
        <is>
          <t>RF-QA-002</t>
        </is>
      </c>
      <c r="B3" s="10" t="inlineStr">
        <is>
          <t>RiderFit Core</t>
        </is>
      </c>
      <c r="C3" s="10" t="inlineStr">
        <is>
          <t>Auth</t>
        </is>
      </c>
      <c r="D3" s="10" t="inlineStr">
        <is>
          <t>Frontend/UI - Login</t>
        </is>
      </c>
      <c r="E3" s="10" t="inlineStr">
        <is>
          <t>Validación visual de campos obligatorios en pantalla de login</t>
        </is>
      </c>
      <c r="F3" s="10" t="inlineStr">
        <is>
          <t>Validar mensajes y estados visuales cuando faltan credenciales.</t>
        </is>
      </c>
      <c r="G3" s="10" t="inlineStr">
        <is>
          <t>Funcional</t>
        </is>
      </c>
      <c r="H3" s="14" t="inlineStr">
        <is>
          <t>Alta</t>
        </is>
      </c>
      <c r="I3" s="12" t="inlineStr">
        <is>
          <t>Pantalla de login disponible en frontend.</t>
        </is>
      </c>
      <c r="J3" s="12" t="inlineStr">
        <is>
          <t>email vacío / password vacía</t>
        </is>
      </c>
      <c r="K3" s="12" t="inlineStr">
        <is>
          <t>1. Abrir formulario login.
2. Intentar enviar sin datos.
3. Probar email inválido.
4. Revisar estados visuales.</t>
        </is>
      </c>
      <c r="L3" s="10" t="inlineStr">
        <is>
          <t>El formulario bloquea envío, muestra validaciones y resalta campos con error.</t>
        </is>
      </c>
      <c r="M3" s="10" t="inlineStr">
        <is>
          <t>Test Case (Steps)</t>
        </is>
      </c>
      <c r="N3" s="10" t="inlineStr">
        <is>
          <t>UI</t>
        </is>
      </c>
      <c r="O3" s="10" t="inlineStr">
        <is>
          <t>High</t>
        </is>
      </c>
      <c r="P3" s="10" t="inlineStr">
        <is>
          <t>Issue #16 / PR #45</t>
        </is>
      </c>
      <c r="Q3" s="13" t="inlineStr">
        <is>
          <t>Ready</t>
        </is>
      </c>
      <c r="R3" s="10" t="inlineStr">
        <is>
          <t>Alejandro</t>
        </is>
      </c>
      <c r="S3" s="10" t="inlineStr">
        <is>
          <t>Sprint QA</t>
        </is>
      </c>
      <c r="T3" s="10" t="inlineStr">
        <is>
          <t>Alineado con criterios de UX y acceso</t>
        </is>
      </c>
    </row>
    <row r="4">
      <c r="A4" s="10" t="inlineStr">
        <is>
          <t>RF-QA-003</t>
        </is>
      </c>
      <c r="B4" s="10" t="inlineStr">
        <is>
          <t>RiderFit Core</t>
        </is>
      </c>
      <c r="C4" s="10" t="inlineStr">
        <is>
          <t>Auth</t>
        </is>
      </c>
      <c r="D4" s="10" t="inlineStr">
        <is>
          <t>Frontend/Integración - Auth &amp; Seguridad</t>
        </is>
      </c>
      <c r="E4" s="10" t="inlineStr">
        <is>
          <t>Persistencia de JWT en sesión y acceso a rutas privadas</t>
        </is>
      </c>
      <c r="F4" s="10" t="inlineStr">
        <is>
          <t>Verificar persistencia del token y protección de navegación autenticada.</t>
        </is>
      </c>
      <c r="G4" s="10" t="inlineStr">
        <is>
          <t>Integración</t>
        </is>
      </c>
      <c r="H4" s="11" t="inlineStr">
        <is>
          <t>Crítica</t>
        </is>
      </c>
      <c r="I4" s="12" t="inlineStr">
        <is>
          <t>Login exitoso implementado y middleware/token disponibles.</t>
        </is>
      </c>
      <c r="J4" s="12" t="inlineStr">
        <is>
          <t>credenciales válidas</t>
        </is>
      </c>
      <c r="K4" s="12" t="inlineStr">
        <is>
          <t>1. Iniciar sesión.
2. Navegar a ruta privada.
3. Refrescar navegador.
4. Validar mantenimiento de sesión.</t>
        </is>
      </c>
      <c r="L4" s="10" t="inlineStr">
        <is>
          <t>La sesión persiste según diseño y solo usuarios autenticados acceden a rutas privadas.</t>
        </is>
      </c>
      <c r="M4" s="10" t="inlineStr">
        <is>
          <t>Test Case (Steps)</t>
        </is>
      </c>
      <c r="N4" s="10" t="inlineStr">
        <is>
          <t>Functional</t>
        </is>
      </c>
      <c r="O4" s="10" t="inlineStr">
        <is>
          <t>Critical</t>
        </is>
      </c>
      <c r="P4" s="10" t="inlineStr">
        <is>
          <t>Issue #20 / Issue #27 / PR #45</t>
        </is>
      </c>
      <c r="Q4" s="13" t="inlineStr">
        <is>
          <t>Ready</t>
        </is>
      </c>
      <c r="R4" s="10" t="inlineStr">
        <is>
          <t>Alejandro</t>
        </is>
      </c>
      <c r="S4" s="10" t="inlineStr">
        <is>
          <t>Sprint QA</t>
        </is>
      </c>
      <c r="T4" s="10" t="inlineStr">
        <is>
          <t>Considerar storage/token refresh según implementación</t>
        </is>
      </c>
    </row>
    <row r="5">
      <c r="A5" s="10" t="inlineStr">
        <is>
          <t>RF-QA-004</t>
        </is>
      </c>
      <c r="B5" s="10" t="inlineStr">
        <is>
          <t>RiderFit Core</t>
        </is>
      </c>
      <c r="C5" s="10" t="inlineStr">
        <is>
          <t>Seguridad</t>
        </is>
      </c>
      <c r="D5" s="10" t="inlineStr">
        <is>
          <t>Backend/API - Middleware de tokens</t>
        </is>
      </c>
      <c r="E5" s="10" t="inlineStr">
        <is>
          <t>Rechazo de acceso sin token o con token inválido</t>
        </is>
      </c>
      <c r="F5" s="10" t="inlineStr">
        <is>
          <t>Validar protección de endpoints privados.</t>
        </is>
      </c>
      <c r="G5" s="10" t="inlineStr">
        <is>
          <t>Seguridad</t>
        </is>
      </c>
      <c r="H5" s="11" t="inlineStr">
        <is>
          <t>Crítica</t>
        </is>
      </c>
      <c r="I5" s="12" t="inlineStr">
        <is>
          <t>Endpoint protegido disponible.</t>
        </is>
      </c>
      <c r="J5" s="12" t="inlineStr">
        <is>
          <t>sin token / token inválido / token expirado</t>
        </is>
      </c>
      <c r="K5" s="12" t="inlineStr">
        <is>
          <t>1. Consumir endpoint privado sin token.
2. Repetir con token inválido.
3. Registrar respuestas.</t>
        </is>
      </c>
      <c r="L5" s="10" t="inlineStr">
        <is>
          <t>El backend devuelve error de autorización y no expone datos protegidos.</t>
        </is>
      </c>
      <c r="M5" s="10" t="inlineStr">
        <is>
          <t>Test Case (Steps)</t>
        </is>
      </c>
      <c r="N5" s="10" t="inlineStr">
        <is>
          <t>Security</t>
        </is>
      </c>
      <c r="O5" s="10" t="inlineStr">
        <is>
          <t>Critical</t>
        </is>
      </c>
      <c r="P5" s="10" t="inlineStr">
        <is>
          <t>Issue #27</t>
        </is>
      </c>
      <c r="Q5" s="13" t="inlineStr">
        <is>
          <t>Ready</t>
        </is>
      </c>
      <c r="R5" s="10" t="inlineStr">
        <is>
          <t>Alejandro</t>
        </is>
      </c>
      <c r="S5" s="10" t="inlineStr">
        <is>
          <t>Sprint QA</t>
        </is>
      </c>
      <c r="T5" s="10" t="inlineStr">
        <is>
          <t>Cobertura básica de acceso seguro</t>
        </is>
      </c>
    </row>
    <row r="6">
      <c r="A6" s="10" t="inlineStr">
        <is>
          <t>RF-QA-005</t>
        </is>
      </c>
      <c r="B6" s="10" t="inlineStr">
        <is>
          <t>RiderFit Core</t>
        </is>
      </c>
      <c r="C6" s="10" t="inlineStr">
        <is>
          <t>Perfil Rider</t>
        </is>
      </c>
      <c r="D6" s="10" t="inlineStr">
        <is>
          <t>Backend/API - CRUD Rider Measurements</t>
        </is>
      </c>
      <c r="E6" s="10" t="inlineStr">
        <is>
          <t>Alta de medidas de jinete con datos válidos</t>
        </is>
      </c>
      <c r="F6" s="10" t="inlineStr">
        <is>
          <t>Verificar creación correcta de mediciones de jinete.</t>
        </is>
      </c>
      <c r="G6" s="10" t="inlineStr">
        <is>
          <t>Funcional</t>
        </is>
      </c>
      <c r="H6" s="14" t="inlineStr">
        <is>
          <t>Alta</t>
        </is>
      </c>
      <c r="I6" s="12" t="inlineStr">
        <is>
          <t>Rider existente y endpoint POST activo.</t>
        </is>
      </c>
      <c r="J6" s="12" t="inlineStr">
        <is>
          <t>height_cm, weight_kg, boot_size_eu válidos</t>
        </is>
      </c>
      <c r="K6" s="12" t="inlineStr">
        <is>
          <t>1. Enviar POST de medidas.
2. Validar código respuesta.
3. Consultar registro creado.
4. Corroborar datos persistidos.</t>
        </is>
      </c>
      <c r="L6" s="10" t="inlineStr">
        <is>
          <t>La medición se guarda correctamente y queda asociada al rider correspondiente.</t>
        </is>
      </c>
      <c r="M6" s="10" t="inlineStr">
        <is>
          <t>Test Case (Steps)</t>
        </is>
      </c>
      <c r="N6" s="10" t="inlineStr">
        <is>
          <t>API</t>
        </is>
      </c>
      <c r="O6" s="10" t="inlineStr">
        <is>
          <t>High</t>
        </is>
      </c>
      <c r="P6" s="10" t="inlineStr">
        <is>
          <t>Issue #25 / Swagger Riders</t>
        </is>
      </c>
      <c r="Q6" s="13" t="inlineStr">
        <is>
          <t>Ready</t>
        </is>
      </c>
      <c r="R6" s="10" t="inlineStr">
        <is>
          <t>Alejandro</t>
        </is>
      </c>
      <c r="S6" s="10" t="inlineStr">
        <is>
          <t>Sprint QA</t>
        </is>
      </c>
      <c r="T6" s="10" t="inlineStr">
        <is>
          <t>Base para perfil físico del rider</t>
        </is>
      </c>
    </row>
    <row r="7">
      <c r="A7" s="10" t="inlineStr">
        <is>
          <t>RF-QA-006</t>
        </is>
      </c>
      <c r="B7" s="10" t="inlineStr">
        <is>
          <t>RiderFit Core</t>
        </is>
      </c>
      <c r="C7" s="10" t="inlineStr">
        <is>
          <t>Perfil Rider</t>
        </is>
      </c>
      <c r="D7" s="10" t="inlineStr">
        <is>
          <t>Backend/API - CRUD Rider Measurements</t>
        </is>
      </c>
      <c r="E7" s="10" t="inlineStr">
        <is>
          <t>Consulta de medidas de jinete recupera último registro vigente</t>
        </is>
      </c>
      <c r="F7" s="10" t="inlineStr">
        <is>
          <t>Verificar recuperación y criterio de medición más reciente.</t>
        </is>
      </c>
      <c r="G7" s="10" t="inlineStr">
        <is>
          <t>Funcional</t>
        </is>
      </c>
      <c r="H7" s="14" t="inlineStr">
        <is>
          <t>Alta</t>
        </is>
      </c>
      <c r="I7" s="12" t="inlineStr">
        <is>
          <t>Existen al menos dos mediciones del mismo rider.</t>
        </is>
      </c>
      <c r="J7" s="12" t="inlineStr">
        <is>
          <t>dos registros con measured_at distintos</t>
        </is>
      </c>
      <c r="K7" s="12" t="inlineStr">
        <is>
          <t>1. Registrar dos mediciones.
2. Consultar endpoint GET.
3. Comparar measured_at.
4. Revisar dato devuelto.</t>
        </is>
      </c>
      <c r="L7" s="10" t="inlineStr">
        <is>
          <t>El sistema utiliza o expone correctamente la medición más reciente según la regla definida.</t>
        </is>
      </c>
      <c r="M7" s="10" t="inlineStr">
        <is>
          <t>Test Case (Steps)</t>
        </is>
      </c>
      <c r="N7" s="10" t="inlineStr">
        <is>
          <t>API</t>
        </is>
      </c>
      <c r="O7" s="10" t="inlineStr">
        <is>
          <t>High</t>
        </is>
      </c>
      <c r="P7" s="10" t="inlineStr">
        <is>
          <t>README QA Guidelines / Issue #25</t>
        </is>
      </c>
      <c r="Q7" s="13" t="inlineStr">
        <is>
          <t>Ready</t>
        </is>
      </c>
      <c r="R7" s="10" t="inlineStr">
        <is>
          <t>Alejandro</t>
        </is>
      </c>
      <c r="S7" s="10" t="inlineStr">
        <is>
          <t>Sprint QA</t>
        </is>
      </c>
      <c r="T7" s="10" t="inlineStr">
        <is>
          <t>Vinculado a integridad del modelo</t>
        </is>
      </c>
    </row>
    <row r="8">
      <c r="A8" s="10" t="inlineStr">
        <is>
          <t>RF-QA-007</t>
        </is>
      </c>
      <c r="B8" s="10" t="inlineStr">
        <is>
          <t>RiderFit Core</t>
        </is>
      </c>
      <c r="C8" s="10" t="inlineStr">
        <is>
          <t>Perfil Rider</t>
        </is>
      </c>
      <c r="D8" s="10" t="inlineStr">
        <is>
          <t>Frontend/Integración - Perfil de Medidas</t>
        </is>
      </c>
      <c r="E8" s="10" t="inlineStr">
        <is>
          <t>PUT de RiderForm actualiza sin duplicar mediciones</t>
        </is>
      </c>
      <c r="F8" s="10" t="inlineStr">
        <is>
          <t>Validar el hallazgo detectado en revisión QA sobre duplicación potencial.</t>
        </is>
      </c>
      <c r="G8" s="10" t="inlineStr">
        <is>
          <t>Integración</t>
        </is>
      </c>
      <c r="H8" s="11" t="inlineStr">
        <is>
          <t>Crítica</t>
        </is>
      </c>
      <c r="I8" s="12" t="inlineStr">
        <is>
          <t>Usuario con medición previa cargada y flujo PUT implementado.</t>
        </is>
      </c>
      <c r="J8" s="12" t="inlineStr">
        <is>
          <t>edición de medición existente</t>
        </is>
      </c>
      <c r="K8" s="12" t="inlineStr">
        <is>
          <t>1. Cargar medida actual.
2. Editar desde RiderForm.
3. Ejecutar actualización PUT.
4. Verificar en backend cantidad de registros y valor actualizado.</t>
        </is>
      </c>
      <c r="L8" s="10" t="inlineStr">
        <is>
          <t>La actualización modifica el registro esperado o sigue la regla definida sin generar duplicados inconsistentes.</t>
        </is>
      </c>
      <c r="M8" s="10" t="inlineStr">
        <is>
          <t>Test Case (Steps)</t>
        </is>
      </c>
      <c r="N8" s="10" t="inlineStr">
        <is>
          <t>Regression</t>
        </is>
      </c>
      <c r="O8" s="10" t="inlineStr">
        <is>
          <t>Critical</t>
        </is>
      </c>
      <c r="P8" s="10" t="inlineStr">
        <is>
          <t>PR #56 / Hallazgo QA</t>
        </is>
      </c>
      <c r="Q8" s="13" t="inlineStr">
        <is>
          <t>Ready</t>
        </is>
      </c>
      <c r="R8" s="10" t="inlineStr">
        <is>
          <t>Alejandro</t>
        </is>
      </c>
      <c r="S8" s="10" t="inlineStr">
        <is>
          <t>Sprint QA</t>
        </is>
      </c>
      <c r="T8" s="10" t="inlineStr">
        <is>
          <t>Caso de regresión obligatorio</t>
        </is>
      </c>
    </row>
    <row r="9">
      <c r="A9" s="10" t="inlineStr">
        <is>
          <t>RF-QA-008</t>
        </is>
      </c>
      <c r="B9" s="10" t="inlineStr">
        <is>
          <t>RiderFit Core</t>
        </is>
      </c>
      <c r="C9" s="10" t="inlineStr">
        <is>
          <t>Perfil Rider</t>
        </is>
      </c>
      <c r="D9" s="10" t="inlineStr">
        <is>
          <t>Backend/API - Validación de perfil</t>
        </is>
      </c>
      <c r="E9" s="10" t="inlineStr">
        <is>
          <t>Rechazo de medidas inválidas o fuera de formato en rider</t>
        </is>
      </c>
      <c r="F9" s="10" t="inlineStr">
        <is>
          <t>Validar controles de entrada para evitar datos corruptos.</t>
        </is>
      </c>
      <c r="G9" s="10" t="inlineStr">
        <is>
          <t>Negativa</t>
        </is>
      </c>
      <c r="H9" s="14" t="inlineStr">
        <is>
          <t>Alta</t>
        </is>
      </c>
      <c r="I9" s="12" t="inlineStr">
        <is>
          <t>Middleware de validación de perfil disponible.</t>
        </is>
      </c>
      <c r="J9" s="12" t="inlineStr">
        <is>
          <t>campos nulos, string en numeric, unidad errónea</t>
        </is>
      </c>
      <c r="K9" s="12" t="inlineStr">
        <is>
          <t>1. Enviar payload inválido.
2. Revisar códigos HTTP y mensajes.
3. Confirmar no persistencia.</t>
        </is>
      </c>
      <c r="L9" s="10" t="inlineStr">
        <is>
          <t>El sistema rechaza la solicitud con mensaje claro y no guarda información inválida.</t>
        </is>
      </c>
      <c r="M9" s="10" t="inlineStr">
        <is>
          <t>Test Case (Steps)</t>
        </is>
      </c>
      <c r="N9" s="10" t="inlineStr">
        <is>
          <t>API</t>
        </is>
      </c>
      <c r="O9" s="10" t="inlineStr">
        <is>
          <t>High</t>
        </is>
      </c>
      <c r="P9" s="10" t="inlineStr">
        <is>
          <t>README QA Guidelines / Issue #31</t>
        </is>
      </c>
      <c r="Q9" s="13" t="inlineStr">
        <is>
          <t>Ready</t>
        </is>
      </c>
      <c r="R9" s="10" t="inlineStr">
        <is>
          <t>Alejandro</t>
        </is>
      </c>
      <c r="S9" s="10" t="inlineStr">
        <is>
          <t>Sprint QA</t>
        </is>
      </c>
      <c r="T9" s="10" t="inlineStr">
        <is>
          <t>Aplica a contrato de datos</t>
        </is>
      </c>
    </row>
    <row r="10">
      <c r="A10" s="10" t="inlineStr">
        <is>
          <t>RF-QA-009</t>
        </is>
      </c>
      <c r="B10" s="10" t="inlineStr">
        <is>
          <t>RiderFit Core</t>
        </is>
      </c>
      <c r="C10" s="10" t="inlineStr">
        <is>
          <t>Perfil Horse</t>
        </is>
      </c>
      <c r="D10" s="10" t="inlineStr">
        <is>
          <t>Backend/API - CRUD Horse Measurements</t>
        </is>
      </c>
      <c r="E10" s="10" t="inlineStr">
        <is>
          <t>Alta de medidas de caballo con datos válidos</t>
        </is>
      </c>
      <c r="F10" s="10" t="inlineStr">
        <is>
          <t>Verificar creación correcta de mediciones del caballo.</t>
        </is>
      </c>
      <c r="G10" s="10" t="inlineStr">
        <is>
          <t>Funcional</t>
        </is>
      </c>
      <c r="H10" s="14" t="inlineStr">
        <is>
          <t>Alta</t>
        </is>
      </c>
      <c r="I10" s="12" t="inlineStr">
        <is>
          <t>Horse existente y endpoint POST activo.</t>
        </is>
      </c>
      <c r="J10" s="12" t="inlineStr">
        <is>
          <t>chest_cm y demás campos válidos</t>
        </is>
      </c>
      <c r="K10" s="12" t="inlineStr">
        <is>
          <t>1. Enviar POST de medidas de caballo.
2. Verificar HTTP 200/201.
3. Consultar datos persistidos.</t>
        </is>
      </c>
      <c r="L10" s="10" t="inlineStr">
        <is>
          <t>La medición queda guardada y asociada al horse correspondiente.</t>
        </is>
      </c>
      <c r="M10" s="10" t="inlineStr">
        <is>
          <t>Test Case (Steps)</t>
        </is>
      </c>
      <c r="N10" s="10" t="inlineStr">
        <is>
          <t>API</t>
        </is>
      </c>
      <c r="O10" s="10" t="inlineStr">
        <is>
          <t>High</t>
        </is>
      </c>
      <c r="P10" s="10" t="inlineStr">
        <is>
          <t>Issue #26 / Swagger Horse Measurements</t>
        </is>
      </c>
      <c r="Q10" s="13" t="inlineStr">
        <is>
          <t>Ready</t>
        </is>
      </c>
      <c r="R10" s="10" t="inlineStr">
        <is>
          <t>Alejandro</t>
        </is>
      </c>
      <c r="S10" s="10" t="inlineStr">
        <is>
          <t>Sprint QA</t>
        </is>
      </c>
      <c r="T10" s="10" t="inlineStr">
        <is>
          <t>Complementa perfil combinado rider-horse</t>
        </is>
      </c>
    </row>
    <row r="11">
      <c r="A11" s="10" t="inlineStr">
        <is>
          <t>RF-QA-010</t>
        </is>
      </c>
      <c r="B11" s="10" t="inlineStr">
        <is>
          <t>RiderFit Core</t>
        </is>
      </c>
      <c r="C11" s="10" t="inlineStr">
        <is>
          <t>Perfil Horse</t>
        </is>
      </c>
      <c r="D11" s="10" t="inlineStr">
        <is>
          <t>Frontend/UI - Horse Form</t>
        </is>
      </c>
      <c r="E11" s="10" t="inlineStr">
        <is>
          <t>Validación visual de campos obligatorios en formulario de caballo</t>
        </is>
      </c>
      <c r="F11" s="10" t="inlineStr">
        <is>
          <t>Verificar comportamiento de inputs y mensajes al faltar datos.</t>
        </is>
      </c>
      <c r="G11" s="10" t="inlineStr">
        <is>
          <t>Funcional</t>
        </is>
      </c>
      <c r="H11" s="10" t="inlineStr">
        <is>
          <t>Media</t>
        </is>
      </c>
      <c r="I11" s="12" t="inlineStr">
        <is>
          <t>HorseForm disponible en frontend.</t>
        </is>
      </c>
      <c r="J11" s="12" t="inlineStr">
        <is>
          <t>campos vacíos / valores no numéricos</t>
        </is>
      </c>
      <c r="K11" s="12" t="inlineStr">
        <is>
          <t>1. Abrir formulario caballo.
2. Intentar guardar sin datos.
3. Ingresar valores inválidos.</t>
        </is>
      </c>
      <c r="L11" s="10" t="inlineStr">
        <is>
          <t>El formulario muestra validaciones visuales y evita envío inválido.</t>
        </is>
      </c>
      <c r="M11" s="10" t="inlineStr">
        <is>
          <t>Test Case (Steps)</t>
        </is>
      </c>
      <c r="N11" s="10" t="inlineStr">
        <is>
          <t>UI</t>
        </is>
      </c>
      <c r="O11" s="10" t="inlineStr">
        <is>
          <t>Medium</t>
        </is>
      </c>
      <c r="P11" s="10" t="inlineStr">
        <is>
          <t>Issue #15 / PR #60</t>
        </is>
      </c>
      <c r="Q11" s="13" t="inlineStr">
        <is>
          <t>Ready</t>
        </is>
      </c>
      <c r="R11" s="10" t="inlineStr">
        <is>
          <t>Alejandro</t>
        </is>
      </c>
      <c r="S11" s="10" t="inlineStr">
        <is>
          <t>Sprint QA</t>
        </is>
      </c>
      <c r="T11" s="10" t="inlineStr">
        <is>
          <t>Cobertura de experiencia de usuario</t>
        </is>
      </c>
    </row>
    <row r="12">
      <c r="A12" s="10" t="inlineStr">
        <is>
          <t>RF-QA-011</t>
        </is>
      </c>
      <c r="B12" s="10" t="inlineStr">
        <is>
          <t>RiderFit Core</t>
        </is>
      </c>
      <c r="C12" s="10" t="inlineStr">
        <is>
          <t>Perfil Horse</t>
        </is>
      </c>
      <c r="D12" s="10" t="inlineStr">
        <is>
          <t>Frontend/Integración - Horse Form</t>
        </is>
      </c>
      <c r="E12" s="10" t="inlineStr">
        <is>
          <t>Mapeo dinámico de measurementTypeId sin hardcodear IDs</t>
        </is>
      </c>
      <c r="F12" s="10" t="inlineStr">
        <is>
          <t>Validar riesgo identificado por QA en PR HorseForm.</t>
        </is>
      </c>
      <c r="G12" s="10" t="inlineStr">
        <is>
          <t>Integración</t>
        </is>
      </c>
      <c r="H12" s="14" t="inlineStr">
        <is>
          <t>Alta</t>
        </is>
      </c>
      <c r="I12" s="12" t="inlineStr">
        <is>
          <t>Frontend conectado a fuente/mapeo de tipos de medición.</t>
        </is>
      </c>
      <c r="J12" s="12" t="inlineStr">
        <is>
          <t>tipos de medición devueltos por API/seed</t>
        </is>
      </c>
      <c r="K12" s="12" t="inlineStr">
        <is>
          <t>1. Revisar carga de tipos de medición.
2. Ejecutar guardado desde HorseForm.
3. Corroborar IDs enviados.
4. Comparar con catálogo vigente.</t>
        </is>
      </c>
      <c r="L12" s="10" t="inlineStr">
        <is>
          <t>Los IDs enviados corresponden al catálogo real y no dependen de valores hardcodeados frágiles.</t>
        </is>
      </c>
      <c r="M12" s="10" t="inlineStr">
        <is>
          <t>Test Case (Steps)</t>
        </is>
      </c>
      <c r="N12" s="10" t="inlineStr">
        <is>
          <t>Regression</t>
        </is>
      </c>
      <c r="O12" s="10" t="inlineStr">
        <is>
          <t>High</t>
        </is>
      </c>
      <c r="P12" s="10" t="inlineStr">
        <is>
          <t>PR #60 / Hallazgo QA / README model validation</t>
        </is>
      </c>
      <c r="Q12" s="13" t="inlineStr">
        <is>
          <t>Ready</t>
        </is>
      </c>
      <c r="R12" s="10" t="inlineStr">
        <is>
          <t>Alejandro</t>
        </is>
      </c>
      <c r="S12" s="10" t="inlineStr">
        <is>
          <t>Sprint QA</t>
        </is>
      </c>
      <c r="T12" s="10" t="inlineStr">
        <is>
          <t>Importante para desacople FE-BE</t>
        </is>
      </c>
    </row>
    <row r="13">
      <c r="A13" s="10" t="inlineStr">
        <is>
          <t>RF-QA-012</t>
        </is>
      </c>
      <c r="B13" s="10" t="inlineStr">
        <is>
          <t>RiderFit Core</t>
        </is>
      </c>
      <c r="C13" s="10" t="inlineStr">
        <is>
          <t>Catálogo</t>
        </is>
      </c>
      <c r="D13" s="10" t="inlineStr">
        <is>
          <t>Backend/API - Products List</t>
        </is>
      </c>
      <c r="E13" s="10" t="inlineStr">
        <is>
          <t>Listado general de productos retorna estructura válida y filtrable</t>
        </is>
      </c>
      <c r="F13" s="10" t="inlineStr">
        <is>
          <t>Verificar endpoint GET /products y filtros básicos.</t>
        </is>
      </c>
      <c r="G13" s="10" t="inlineStr">
        <is>
          <t>Funcional</t>
        </is>
      </c>
      <c r="H13" s="14" t="inlineStr">
        <is>
          <t>Alta</t>
        </is>
      </c>
      <c r="I13" s="12" t="inlineStr">
        <is>
          <t>Datos semilla cargados y endpoint disponible.</t>
        </is>
      </c>
      <c r="J13" s="12" t="inlineStr">
        <is>
          <t>filtro por categoría / disciplina / subcategoría</t>
        </is>
      </c>
      <c r="K13" s="12" t="inlineStr">
        <is>
          <t>1. Consumir GET /products.
2. Validar lista y estructura.
3. Aplicar filtros.
4. Comparar resultados.</t>
        </is>
      </c>
      <c r="L13" s="10" t="inlineStr">
        <is>
          <t>El endpoint devuelve listado consistente y filtra según parámetros soportados.</t>
        </is>
      </c>
      <c r="M13" s="10" t="inlineStr">
        <is>
          <t>Test Case (Steps)</t>
        </is>
      </c>
      <c r="N13" s="10" t="inlineStr">
        <is>
          <t>API</t>
        </is>
      </c>
      <c r="O13" s="10" t="inlineStr">
        <is>
          <t>High</t>
        </is>
      </c>
      <c r="P13" s="10" t="inlineStr">
        <is>
          <t>Issue #23 / Swagger Products</t>
        </is>
      </c>
      <c r="Q13" s="13" t="inlineStr">
        <is>
          <t>Ready</t>
        </is>
      </c>
      <c r="R13" s="10" t="inlineStr">
        <is>
          <t>Alejandro</t>
        </is>
      </c>
      <c r="S13" s="10" t="inlineStr">
        <is>
          <t>Sprint QA</t>
        </is>
      </c>
      <c r="T13" s="10" t="inlineStr">
        <is>
          <t>Clave para home y catálogo</t>
        </is>
      </c>
    </row>
    <row r="14">
      <c r="A14" s="10" t="inlineStr">
        <is>
          <t>RF-QA-013</t>
        </is>
      </c>
      <c r="B14" s="10" t="inlineStr">
        <is>
          <t>RiderFit Core</t>
        </is>
      </c>
      <c r="C14" s="10" t="inlineStr">
        <is>
          <t>Catálogo</t>
        </is>
      </c>
      <c r="D14" s="10" t="inlineStr">
        <is>
          <t>Backend/API - Product Detail</t>
        </is>
      </c>
      <c r="E14" s="10" t="inlineStr">
        <is>
          <t>Detalle por ID devuelve producto esperado y manejo de no existente</t>
        </is>
      </c>
      <c r="F14" s="10" t="inlineStr">
        <is>
          <t>Verificar GET /products/:id en caso positivo y negativo.</t>
        </is>
      </c>
      <c r="G14" s="10" t="inlineStr">
        <is>
          <t>Funcional</t>
        </is>
      </c>
      <c r="H14" s="14" t="inlineStr">
        <is>
          <t>Alta</t>
        </is>
      </c>
      <c r="I14" s="12" t="inlineStr">
        <is>
          <t>Existe al menos un producto válido.</t>
        </is>
      </c>
      <c r="J14" s="12" t="inlineStr">
        <is>
          <t>product id válido / inexistente</t>
        </is>
      </c>
      <c r="K14" s="12" t="inlineStr">
        <is>
          <t>1. Consumir GET con ID válido.
2. Revisar atributos.
3. Repetir con ID inexistente.</t>
        </is>
      </c>
      <c r="L14" s="10" t="inlineStr">
        <is>
          <t>Con ID válido devuelve detalle correcto; con ID inexistente responde con error controlado.</t>
        </is>
      </c>
      <c r="M14" s="10" t="inlineStr">
        <is>
          <t>Test Case (Steps)</t>
        </is>
      </c>
      <c r="N14" s="10" t="inlineStr">
        <is>
          <t>API</t>
        </is>
      </c>
      <c r="O14" s="10" t="inlineStr">
        <is>
          <t>High</t>
        </is>
      </c>
      <c r="P14" s="10" t="inlineStr">
        <is>
          <t>Issue #24</t>
        </is>
      </c>
      <c r="Q14" s="13" t="inlineStr">
        <is>
          <t>Ready</t>
        </is>
      </c>
      <c r="R14" s="10" t="inlineStr">
        <is>
          <t>Alejandro</t>
        </is>
      </c>
      <c r="S14" s="10" t="inlineStr">
        <is>
          <t>Sprint QA</t>
        </is>
      </c>
      <c r="T14" s="10" t="inlineStr">
        <is>
          <t>Cubre detalle y manejo de errores</t>
        </is>
      </c>
    </row>
    <row r="15">
      <c r="A15" s="10" t="inlineStr">
        <is>
          <t>RF-QA-014</t>
        </is>
      </c>
      <c r="B15" s="10" t="inlineStr">
        <is>
          <t>RiderFit Core</t>
        </is>
      </c>
      <c r="C15" s="10" t="inlineStr">
        <is>
          <t>Catálogo</t>
        </is>
      </c>
      <c r="D15" s="10" t="inlineStr">
        <is>
          <t>Frontend/Integración - Home y Detalle</t>
        </is>
      </c>
      <c r="E15" s="10" t="inlineStr">
        <is>
          <t>Home y detalle consumen servicios fetchProducts y getProductById</t>
        </is>
      </c>
      <c r="F15" s="10" t="inlineStr">
        <is>
          <t>Validar integración de catálogo en frontend.</t>
        </is>
      </c>
      <c r="G15" s="10" t="inlineStr">
        <is>
          <t>Integración</t>
        </is>
      </c>
      <c r="H15" s="10" t="inlineStr">
        <is>
          <t>Media</t>
        </is>
      </c>
      <c r="I15" s="12" t="inlineStr">
        <is>
          <t>Servicios de catálogo conectados y vistas disponibles.</t>
        </is>
      </c>
      <c r="J15" s="12" t="inlineStr">
        <is>
          <t>productos semilla</t>
        </is>
      </c>
      <c r="K15" s="12" t="inlineStr">
        <is>
          <t>1. Abrir Home.
2. Verificar render de grid.
3. Ingresar a detalle.
4. Comparar datos con API.</t>
        </is>
      </c>
      <c r="L15" s="10" t="inlineStr">
        <is>
          <t>Las pantallas muestran datos consistentes con el backend sin errores de integración.</t>
        </is>
      </c>
      <c r="M15" s="10" t="inlineStr">
        <is>
          <t>Test Case (Steps)</t>
        </is>
      </c>
      <c r="N15" s="10" t="inlineStr">
        <is>
          <t>Functional</t>
        </is>
      </c>
      <c r="O15" s="10" t="inlineStr">
        <is>
          <t>Medium</t>
        </is>
      </c>
      <c r="P15" s="10" t="inlineStr">
        <is>
          <t>Issue #18 / UI Home #12 / UI Detail #13</t>
        </is>
      </c>
      <c r="Q15" s="13" t="inlineStr">
        <is>
          <t>Ready</t>
        </is>
      </c>
      <c r="R15" s="10" t="inlineStr">
        <is>
          <t>Alejandro</t>
        </is>
      </c>
      <c r="S15" s="10" t="inlineStr">
        <is>
          <t>Sprint QA</t>
        </is>
      </c>
      <c r="T15" s="10" t="inlineStr">
        <is>
          <t>Valida extremo a extremo básico</t>
        </is>
      </c>
    </row>
    <row r="16">
      <c r="A16" s="10" t="inlineStr">
        <is>
          <t>RF-QA-015</t>
        </is>
      </c>
      <c r="B16" s="10" t="inlineStr">
        <is>
          <t>RiderFit Core</t>
        </is>
      </c>
      <c r="C16" s="10" t="inlineStr">
        <is>
          <t>Recomendaciones</t>
        </is>
      </c>
      <c r="D16" s="10" t="inlineStr">
        <is>
          <t>Backend - Business Rules Filter</t>
        </is>
      </c>
      <c r="E16" s="10" t="inlineStr">
        <is>
          <t>Producto incompatible no debe ser recomendado</t>
        </is>
      </c>
      <c r="F16" s="10" t="inlineStr">
        <is>
          <t>Verificar regla de negocio cuando producto no cumple compatibilidad rider-horse.</t>
        </is>
      </c>
      <c r="G16" s="10" t="inlineStr">
        <is>
          <t>Funcional</t>
        </is>
      </c>
      <c r="H16" s="11" t="inlineStr">
        <is>
          <t>Crítica</t>
        </is>
      </c>
      <c r="I16" s="12" t="inlineStr">
        <is>
          <t>Motor de reglas activo y datos de entrada disponibles.</t>
        </is>
      </c>
      <c r="J16" s="12" t="inlineStr">
        <is>
          <t>producto incompatible con disciplina o rango</t>
        </is>
      </c>
      <c r="K16" s="12" t="inlineStr">
        <is>
          <t>1. Preparar perfil y producto incompatible.
2. Solicitar recomendación.
3. Revisar salida.</t>
        </is>
      </c>
      <c r="L16" s="10" t="inlineStr">
        <is>
          <t>El producto queda excluido del resultado o se informa incompatibilidad de forma explícita.</t>
        </is>
      </c>
      <c r="M16" s="10" t="inlineStr">
        <is>
          <t>Test Case (Steps)</t>
        </is>
      </c>
      <c r="N16" s="10" t="inlineStr">
        <is>
          <t>Functional</t>
        </is>
      </c>
      <c r="O16" s="10" t="inlineStr">
        <is>
          <t>Critical</t>
        </is>
      </c>
      <c r="P16" s="10" t="inlineStr">
        <is>
          <t>README QA Cases / Issue #29</t>
        </is>
      </c>
      <c r="Q16" s="13" t="inlineStr">
        <is>
          <t>Ready</t>
        </is>
      </c>
      <c r="R16" s="10" t="inlineStr">
        <is>
          <t>Alejandro</t>
        </is>
      </c>
      <c r="S16" s="10" t="inlineStr">
        <is>
          <t>Sprint QA</t>
        </is>
      </c>
      <c r="T16" s="10" t="inlineStr">
        <is>
          <t>Caso base obligatorio</t>
        </is>
      </c>
    </row>
    <row r="17">
      <c r="A17" s="10" t="inlineStr">
        <is>
          <t>RF-QA-016</t>
        </is>
      </c>
      <c r="B17" s="10" t="inlineStr">
        <is>
          <t>RiderFit Core</t>
        </is>
      </c>
      <c r="C17" s="10" t="inlineStr">
        <is>
          <t>Recomendaciones</t>
        </is>
      </c>
      <c r="D17" s="10" t="inlineStr">
        <is>
          <t>Backend - Recommendation Orchestration</t>
        </is>
      </c>
      <c r="E17" s="10" t="inlineStr">
        <is>
          <t>Combinación rider + horse + producto genera recomendación coherente</t>
        </is>
      </c>
      <c r="F17" s="10" t="inlineStr">
        <is>
          <t>Validar flujo principal del motor de recomendaciones.</t>
        </is>
      </c>
      <c r="G17" s="10" t="inlineStr">
        <is>
          <t>Funcional</t>
        </is>
      </c>
      <c r="H17" s="11" t="inlineStr">
        <is>
          <t>Crítica</t>
        </is>
      </c>
      <c r="I17" s="12" t="inlineStr">
        <is>
          <t>Orquestador disponible con datos válidos en todas las entidades.</t>
        </is>
      </c>
      <c r="J17" s="12" t="inlineStr">
        <is>
          <t>perfil rider/horse completo + producto compatible</t>
        </is>
      </c>
      <c r="K17" s="12" t="inlineStr">
        <is>
          <t>1. Enviar solicitud de recomendación.
2. Validar insumos utilizados.
3. Revisar talle/salida generada.</t>
        </is>
      </c>
      <c r="L17" s="10" t="inlineStr">
        <is>
          <t>El sistema responde con recomendación consistente con rangos, disciplina y compatibilidad.</t>
        </is>
      </c>
      <c r="M17" s="10" t="inlineStr">
        <is>
          <t>Test Case (Steps)</t>
        </is>
      </c>
      <c r="N17" s="10" t="inlineStr">
        <is>
          <t>API</t>
        </is>
      </c>
      <c r="O17" s="10" t="inlineStr">
        <is>
          <t>Critical</t>
        </is>
      </c>
      <c r="P17" s="10" t="inlineStr">
        <is>
          <t>Issue #30 / README assistant logic</t>
        </is>
      </c>
      <c r="Q17" s="13" t="inlineStr">
        <is>
          <t>Ready</t>
        </is>
      </c>
      <c r="R17" s="10" t="inlineStr">
        <is>
          <t>Alejandro</t>
        </is>
      </c>
      <c r="S17" s="10" t="inlineStr">
        <is>
          <t>Sprint QA</t>
        </is>
      </c>
      <c r="T17" s="10" t="inlineStr">
        <is>
          <t>Caso más representativo del producto</t>
        </is>
      </c>
    </row>
    <row r="18">
      <c r="A18" s="10" t="inlineStr">
        <is>
          <t>RF-QA-017</t>
        </is>
      </c>
      <c r="B18" s="10" t="inlineStr">
        <is>
          <t>RiderFit Core</t>
        </is>
      </c>
      <c r="C18" s="10" t="inlineStr">
        <is>
          <t>Recomendaciones</t>
        </is>
      </c>
      <c r="D18" s="10" t="inlineStr">
        <is>
          <t>Backend - Recommendation Orchestration</t>
        </is>
      </c>
      <c r="E18" s="10" t="inlineStr">
        <is>
          <t>Falta de mediciones obligatorias bloquea recomendación</t>
        </is>
      </c>
      <c r="F18" s="10" t="inlineStr">
        <is>
          <t>Verificar que el motor no recomiende con datos incompletos.</t>
        </is>
      </c>
      <c r="G18" s="10" t="inlineStr">
        <is>
          <t>Negativa</t>
        </is>
      </c>
      <c r="H18" s="14" t="inlineStr">
        <is>
          <t>Alta</t>
        </is>
      </c>
      <c r="I18" s="12" t="inlineStr">
        <is>
          <t>Catálogo de mediciones obligatorias configurado.</t>
        </is>
      </c>
      <c r="J18" s="12" t="inlineStr">
        <is>
          <t>perfil sin una medición requerida</t>
        </is>
      </c>
      <c r="K18" s="12" t="inlineStr">
        <is>
          <t>1. Generar solicitud con dato faltante.
2. Revisar respuesta.
3. Confirmar ausencia de recomendación final.</t>
        </is>
      </c>
      <c r="L18" s="10" t="inlineStr">
        <is>
          <t>El sistema informa datos faltantes y no emite recomendación inválida.</t>
        </is>
      </c>
      <c r="M18" s="10" t="inlineStr">
        <is>
          <t>Test Case (Steps)</t>
        </is>
      </c>
      <c r="N18" s="10" t="inlineStr">
        <is>
          <t>API</t>
        </is>
      </c>
      <c r="O18" s="10" t="inlineStr">
        <is>
          <t>High</t>
        </is>
      </c>
      <c r="P18" s="10" t="inlineStr">
        <is>
          <t>README cat_required_measurements / Issue #30</t>
        </is>
      </c>
      <c r="Q18" s="13" t="inlineStr">
        <is>
          <t>Ready</t>
        </is>
      </c>
      <c r="R18" s="10" t="inlineStr">
        <is>
          <t>Alejandro</t>
        </is>
      </c>
      <c r="S18" s="10" t="inlineStr">
        <is>
          <t>Sprint QA</t>
        </is>
      </c>
      <c r="T18" s="10" t="inlineStr">
        <is>
          <t>Relacionado a calidad de datos</t>
        </is>
      </c>
    </row>
    <row r="19">
      <c r="A19" s="10" t="inlineStr">
        <is>
          <t>RF-QA-018</t>
        </is>
      </c>
      <c r="B19" s="10" t="inlineStr">
        <is>
          <t>RiderFit Core</t>
        </is>
      </c>
      <c r="C19" s="10" t="inlineStr">
        <is>
          <t>Recomendaciones</t>
        </is>
      </c>
      <c r="D19" s="10" t="inlineStr">
        <is>
          <t>Backend - Business Rules Filter</t>
        </is>
      </c>
      <c r="E19" s="10" t="inlineStr">
        <is>
          <t>Jinete fuera de rango genera advertencia o rechazo</t>
        </is>
      </c>
      <c r="F19" s="10" t="inlineStr">
        <is>
          <t>Validar comportamiento definido para medidas del rider fuera de rango.</t>
        </is>
      </c>
      <c r="G19" s="10" t="inlineStr">
        <is>
          <t>Negativa</t>
        </is>
      </c>
      <c r="H19" s="14" t="inlineStr">
        <is>
          <t>Alta</t>
        </is>
      </c>
      <c r="I19" s="12" t="inlineStr">
        <is>
          <t>Motor de reglas disponible.</t>
        </is>
      </c>
      <c r="J19" s="12" t="inlineStr">
        <is>
          <t>rider fuera de min/max de rango</t>
        </is>
      </c>
      <c r="K19" s="12" t="inlineStr">
        <is>
          <t>1. Preparar caso de rider fuera de rango.
2. Solicitar recomendación.
3. Revisar mensaje del sistema.</t>
        </is>
      </c>
      <c r="L19" s="10" t="inlineStr">
        <is>
          <t>El sistema advierte o rechaza la recomendación según regla definida; no devuelve ajuste engañoso.</t>
        </is>
      </c>
      <c r="M19" s="10" t="inlineStr">
        <is>
          <t>Test Case (Steps)</t>
        </is>
      </c>
      <c r="N19" s="10" t="inlineStr">
        <is>
          <t>Functional</t>
        </is>
      </c>
      <c r="O19" s="10" t="inlineStr">
        <is>
          <t>High</t>
        </is>
      </c>
      <c r="P19" s="10" t="inlineStr">
        <is>
          <t>README QA-02 / Issue #29</t>
        </is>
      </c>
      <c r="Q19" s="13" t="inlineStr">
        <is>
          <t>Ready</t>
        </is>
      </c>
      <c r="R19" s="10" t="inlineStr">
        <is>
          <t>Alejandro</t>
        </is>
      </c>
      <c r="S19" s="10" t="inlineStr">
        <is>
          <t>Sprint QA</t>
        </is>
      </c>
      <c r="T19" s="10" t="inlineStr">
        <is>
          <t>Caso base README</t>
        </is>
      </c>
    </row>
    <row r="20">
      <c r="A20" s="10" t="inlineStr">
        <is>
          <t>RF-QA-019</t>
        </is>
      </c>
      <c r="B20" s="10" t="inlineStr">
        <is>
          <t>RiderFit Core</t>
        </is>
      </c>
      <c r="C20" s="10" t="inlineStr">
        <is>
          <t>Chat/IA</t>
        </is>
      </c>
      <c r="D20" s="10" t="inlineStr">
        <is>
          <t>Backend - Intent Detection &amp; Entity Extraction</t>
        </is>
      </c>
      <c r="E20" s="10" t="inlineStr">
        <is>
          <t>Extracción de intención y entidades desde input del chat</t>
        </is>
      </c>
      <c r="F20" s="10" t="inlineStr">
        <is>
          <t>Validar procesamiento básico del componente IA/chat según issue abierto.</t>
        </is>
      </c>
      <c r="G20" s="10" t="inlineStr">
        <is>
          <t>Exploratoria</t>
        </is>
      </c>
      <c r="H20" s="10" t="inlineStr">
        <is>
          <t>Media</t>
        </is>
      </c>
      <c r="I20" s="12" t="inlineStr">
        <is>
          <t>Servicio de intención disponible o stub funcional.</t>
        </is>
      </c>
      <c r="J20" s="12" t="inlineStr">
        <is>
          <t>mensaje con intención de búsqueda de producto</t>
        </is>
      </c>
      <c r="K20" s="12" t="inlineStr">
        <is>
          <t>1. Enviar mensaje al servicio/chat.
2. Revisar intención detectada.
3. Validar entidades extraídas.</t>
        </is>
      </c>
      <c r="L20" s="10" t="inlineStr">
        <is>
          <t>El sistema identifica correctamente intención y entidades clave o responde con fallback controlado.</t>
        </is>
      </c>
      <c r="M20" s="10" t="inlineStr">
        <is>
          <t>Test Case (Steps)</t>
        </is>
      </c>
      <c r="N20" s="10" t="inlineStr">
        <is>
          <t>Exploratory</t>
        </is>
      </c>
      <c r="O20" s="10" t="inlineStr">
        <is>
          <t>Medium</t>
        </is>
      </c>
      <c r="P20" s="10" t="inlineStr">
        <is>
          <t>Issue #28 / Issue #21</t>
        </is>
      </c>
      <c r="Q20" s="15" t="inlineStr">
        <is>
          <t>Draft</t>
        </is>
      </c>
      <c r="R20" s="10" t="inlineStr">
        <is>
          <t>Alejandro</t>
        </is>
      </c>
      <c r="S20" s="10" t="inlineStr">
        <is>
          <t>Sprint QA</t>
        </is>
      </c>
      <c r="T20" s="10" t="inlineStr">
        <is>
          <t>Pendiente según avance funcional</t>
        </is>
      </c>
    </row>
    <row r="21">
      <c r="A21" s="10" t="inlineStr">
        <is>
          <t>RF-QA-020</t>
        </is>
      </c>
      <c r="B21" s="10" t="inlineStr">
        <is>
          <t>RiderFit Core</t>
        </is>
      </c>
      <c r="C21" s="10" t="inlineStr">
        <is>
          <t>UI Base</t>
        </is>
      </c>
      <c r="D21" s="10" t="inlineStr">
        <is>
          <t>Frontend/UI - Componentes Base</t>
        </is>
      </c>
      <c r="E21" s="10" t="inlineStr">
        <is>
          <t>Componentes base renderizan estados normal, hover, disabled y error</t>
        </is>
      </c>
      <c r="F21" s="10" t="inlineStr">
        <is>
          <t>Asegurar consistencia visual y reutilización en la interfaz.</t>
        </is>
      </c>
      <c r="G21" s="10" t="inlineStr">
        <is>
          <t>Visual</t>
        </is>
      </c>
      <c r="H21" s="10" t="inlineStr">
        <is>
          <t>Media</t>
        </is>
      </c>
      <c r="I21" s="12" t="inlineStr">
        <is>
          <t>Component library/base components implementados.</t>
        </is>
      </c>
      <c r="J21" s="12" t="inlineStr">
        <is>
          <t>botones, inputs, cards</t>
        </is>
      </c>
      <c r="K21" s="12" t="inlineStr">
        <is>
          <t>1. Navegar componentes base.
2. Revisar estados principales.
3. Confirmar coherencia visual y accesibilidad básica.</t>
        </is>
      </c>
      <c r="L21" s="10" t="inlineStr">
        <is>
          <t>Los componentes mantienen comportamiento consistente y usable en diferentes estados.</t>
        </is>
      </c>
      <c r="M21" s="10" t="inlineStr">
        <is>
          <t>Test Case (Steps)</t>
        </is>
      </c>
      <c r="N21" s="10" t="inlineStr">
        <is>
          <t>UI</t>
        </is>
      </c>
      <c r="O21" s="10" t="inlineStr">
        <is>
          <t>Medium</t>
        </is>
      </c>
      <c r="P21" s="10" t="inlineStr">
        <is>
          <t>Issue #11</t>
        </is>
      </c>
      <c r="Q21" s="13" t="inlineStr">
        <is>
          <t>Ready</t>
        </is>
      </c>
      <c r="R21" s="10" t="inlineStr">
        <is>
          <t>Alejandro</t>
        </is>
      </c>
      <c r="S21" s="10" t="inlineStr">
        <is>
          <t>Sprint QA</t>
        </is>
      </c>
      <c r="T21" s="10" t="inlineStr">
        <is>
          <t>Útil para baseline de UI</t>
        </is>
      </c>
    </row>
    <row r="22">
      <c r="A22" s="10" t="inlineStr">
        <is>
          <t>RF-QA-021</t>
        </is>
      </c>
      <c r="B22" s="10" t="inlineStr">
        <is>
          <t>RiderFit Core</t>
        </is>
      </c>
      <c r="C22" s="10" t="inlineStr">
        <is>
          <t>Entorno</t>
        </is>
      </c>
      <c r="D22" s="10" t="inlineStr">
        <is>
          <t>Backend - Entorno y DB</t>
        </is>
      </c>
      <c r="E22" s="10" t="inlineStr">
        <is>
          <t>Backend sincroniza correctamente con base de datos y seed data</t>
        </is>
      </c>
      <c r="F22" s="10" t="inlineStr">
        <is>
          <t>Validar disponibilidad del entorno para pruebas QA.</t>
        </is>
      </c>
      <c r="G22" s="10" t="inlineStr">
        <is>
          <t>Smoke</t>
        </is>
      </c>
      <c r="H22" s="14" t="inlineStr">
        <is>
          <t>Alta</t>
        </is>
      </c>
      <c r="I22" s="12" t="inlineStr">
        <is>
          <t>Proyecto backend levantado con DB accesible.</t>
        </is>
      </c>
      <c r="J22" s="12" t="inlineStr">
        <is>
          <t>conexion DB / seed data</t>
        </is>
      </c>
      <c r="K22" s="12" t="inlineStr">
        <is>
          <t>1. Iniciar backend.
2. Verificar conexión DB.
3. Revisar tablas/datos de prueba.
4. Consultar endpoints base.</t>
        </is>
      </c>
      <c r="L22" s="10" t="inlineStr">
        <is>
          <t>El entorno responde correctamente, hay datos de prueba y los endpoints quedan operativos.</t>
        </is>
      </c>
      <c r="M22" s="10" t="inlineStr">
        <is>
          <t>Test Case (Steps)</t>
        </is>
      </c>
      <c r="N22" s="10" t="inlineStr">
        <is>
          <t>Smoke</t>
        </is>
      </c>
      <c r="O22" s="10" t="inlineStr">
        <is>
          <t>High</t>
        </is>
      </c>
      <c r="P22" s="10" t="inlineStr">
        <is>
          <t>Issue #38 / Issue #7</t>
        </is>
      </c>
      <c r="Q22" s="13" t="inlineStr">
        <is>
          <t>Ready</t>
        </is>
      </c>
      <c r="R22" s="10" t="inlineStr">
        <is>
          <t>Alejandro</t>
        </is>
      </c>
      <c r="S22" s="10" t="inlineStr">
        <is>
          <t>Sprint QA</t>
        </is>
      </c>
      <c r="T22" s="10" t="inlineStr">
        <is>
          <t>Caso previo a pruebas funcionales</t>
        </is>
      </c>
    </row>
    <row r="23">
      <c r="A23" s="10" t="inlineStr">
        <is>
          <t>RF-QA-022</t>
        </is>
      </c>
      <c r="B23" s="10" t="inlineStr">
        <is>
          <t>RiderFit Core</t>
        </is>
      </c>
      <c r="C23" s="10" t="inlineStr">
        <is>
          <t>Documentación</t>
        </is>
      </c>
      <c r="D23" s="10" t="inlineStr">
        <is>
          <t>Backend - Swagger</t>
        </is>
      </c>
      <c r="E23" s="10" t="inlineStr">
        <is>
          <t>Swagger documenta endpoints clave y permite prueba manual</t>
        </is>
      </c>
      <c r="F23" s="10" t="inlineStr">
        <is>
          <t>Validar disponibilidad y utilidad de la documentación técnica.</t>
        </is>
      </c>
      <c r="G23" s="10" t="inlineStr">
        <is>
          <t>Smoke</t>
        </is>
      </c>
      <c r="H23" s="10" t="inlineStr">
        <is>
          <t>Media</t>
        </is>
      </c>
      <c r="I23" s="12" t="inlineStr">
        <is>
          <t>Swagger integrado y backend activo.</t>
        </is>
      </c>
      <c r="J23" s="12" t="inlineStr">
        <is>
          <t>N/A</t>
        </is>
      </c>
      <c r="K23" s="12" t="inlineStr">
        <is>
          <t>1. Abrir Swagger.
2. Confirmar visibilidad de endpoints.
3. Ejecutar prueba simple desde interfaz.</t>
        </is>
      </c>
      <c r="L23" s="10" t="inlineStr">
        <is>
          <t>La documentación está accesible, clara y funcional para soporte de testing/manual QA.</t>
        </is>
      </c>
      <c r="M23" s="10" t="inlineStr">
        <is>
          <t>Test Case (Steps)</t>
        </is>
      </c>
      <c r="N23" s="10" t="inlineStr">
        <is>
          <t>Documentation</t>
        </is>
      </c>
      <c r="O23" s="10" t="inlineStr">
        <is>
          <t>Medium</t>
        </is>
      </c>
      <c r="P23" s="10" t="inlineStr">
        <is>
          <t>Issue #32</t>
        </is>
      </c>
      <c r="Q23" s="13" t="inlineStr">
        <is>
          <t>Ready</t>
        </is>
      </c>
      <c r="R23" s="10" t="inlineStr">
        <is>
          <t>Alejandro</t>
        </is>
      </c>
      <c r="S23" s="10" t="inlineStr">
        <is>
          <t>Sprint QA</t>
        </is>
      </c>
      <c r="T23" s="10" t="inlineStr">
        <is>
          <t>Soporte directo a trazabilidad técnica</t>
        </is>
      </c>
    </row>
    <row r="24">
      <c r="A24" s="10" t="inlineStr">
        <is>
          <t>RF-QA-023</t>
        </is>
      </c>
      <c r="B24" s="10" t="inlineStr">
        <is>
          <t>RiderFit Core</t>
        </is>
      </c>
      <c r="C24" s="10" t="inlineStr">
        <is>
          <t>Datos</t>
        </is>
      </c>
      <c r="D24" s="10" t="inlineStr">
        <is>
          <t>Backend - Modelo de Datos</t>
        </is>
      </c>
      <c r="E24" s="10" t="inlineStr">
        <is>
          <t>measurement_types mantiene unicidad de code y coherencia de unit/applies_to</t>
        </is>
      </c>
      <c r="F24" s="10" t="inlineStr">
        <is>
          <t>Validar integridad del modelo relacional base.</t>
        </is>
      </c>
      <c r="G24" s="10" t="inlineStr">
        <is>
          <t>Integridad</t>
        </is>
      </c>
      <c r="H24" s="14" t="inlineStr">
        <is>
          <t>Alta</t>
        </is>
      </c>
      <c r="I24" s="12" t="inlineStr">
        <is>
          <t>Acceso a DB o endpoints administrativos/datos semilla.</t>
        </is>
      </c>
      <c r="J24" s="12" t="inlineStr">
        <is>
          <t>registros measurement_types</t>
        </is>
      </c>
      <c r="K24" s="12" t="inlineStr">
        <is>
          <t>1. Revisar dataset measurement_types.
2. Validar unicidad de code.
3. Verificar unit y applies_to.</t>
        </is>
      </c>
      <c r="L24" s="10" t="inlineStr">
        <is>
          <t>No existen duplicados ni inconsistencias en los tipos de medición utilizados por el sistema.</t>
        </is>
      </c>
      <c r="M24" s="10" t="inlineStr">
        <is>
          <t>Test Case (Steps)</t>
        </is>
      </c>
      <c r="N24" s="10" t="inlineStr">
        <is>
          <t>Other</t>
        </is>
      </c>
      <c r="O24" s="10" t="inlineStr">
        <is>
          <t>High</t>
        </is>
      </c>
      <c r="P24" s="10" t="inlineStr">
        <is>
          <t>README model validation / Issue #6</t>
        </is>
      </c>
      <c r="Q24" s="13" t="inlineStr">
        <is>
          <t>Ready</t>
        </is>
      </c>
      <c r="R24" s="10" t="inlineStr">
        <is>
          <t>Alejandro</t>
        </is>
      </c>
      <c r="S24" s="10" t="inlineStr">
        <is>
          <t>Sprint QA</t>
        </is>
      </c>
      <c r="T24" s="10" t="inlineStr">
        <is>
          <t>Trazabilidad con guideline de QA</t>
        </is>
      </c>
    </row>
    <row r="25">
      <c r="A25" s="10" t="inlineStr">
        <is>
          <t>RF-QA-024</t>
        </is>
      </c>
      <c r="B25" s="10" t="inlineStr">
        <is>
          <t>RiderFit Core</t>
        </is>
      </c>
      <c r="C25" s="10" t="inlineStr">
        <is>
          <t>Datos</t>
        </is>
      </c>
      <c r="D25" s="10" t="inlineStr">
        <is>
          <t>Backend - Product Size Ranges</t>
        </is>
      </c>
      <c r="E25" s="10" t="inlineStr">
        <is>
          <t>Rangos de talle sin solapamientos inconsistentes</t>
        </is>
      </c>
      <c r="F25" s="10" t="inlineStr">
        <is>
          <t>Validar integridad de product_size_ranges para recomendación precisa.</t>
        </is>
      </c>
      <c r="G25" s="10" t="inlineStr">
        <is>
          <t>Integridad</t>
        </is>
      </c>
      <c r="H25" s="14" t="inlineStr">
        <is>
          <t>Alta</t>
        </is>
      </c>
      <c r="I25" s="12" t="inlineStr">
        <is>
          <t>Datos de rangos cargados en DB.</t>
        </is>
      </c>
      <c r="J25" s="12" t="inlineStr">
        <is>
          <t>min_value / max_value por producto-dimensión</t>
        </is>
      </c>
      <c r="K25" s="12" t="inlineStr">
        <is>
          <t>1. Revisar rangos por producto y dimensión.
2. Comparar min vs max.
3. Detectar solapamientos inválidos.</t>
        </is>
      </c>
      <c r="L25" s="10" t="inlineStr">
        <is>
          <t>Los rangos son coherentes, sin solapamientos incorrectos que comprometan la recomendación.</t>
        </is>
      </c>
      <c r="M25" s="10" t="inlineStr">
        <is>
          <t>Test Case (Steps)</t>
        </is>
      </c>
      <c r="N25" s="10" t="inlineStr">
        <is>
          <t>Other</t>
        </is>
      </c>
      <c r="O25" s="10" t="inlineStr">
        <is>
          <t>High</t>
        </is>
      </c>
      <c r="P25" s="10" t="inlineStr">
        <is>
          <t>README product_size_ranges</t>
        </is>
      </c>
      <c r="Q25" s="13" t="inlineStr">
        <is>
          <t>Ready</t>
        </is>
      </c>
      <c r="R25" s="10" t="inlineStr">
        <is>
          <t>Alejandro</t>
        </is>
      </c>
      <c r="S25" s="10" t="inlineStr">
        <is>
          <t>Sprint QA</t>
        </is>
      </c>
      <c r="T25" s="10" t="inlineStr">
        <is>
          <t>Crítico para exactitud de FitBot</t>
        </is>
      </c>
    </row>
    <row r="26">
      <c r="A26" s="10" t="inlineStr">
        <is>
          <t>RF-QA-025</t>
        </is>
      </c>
      <c r="B26" s="10" t="inlineStr">
        <is>
          <t>RiderFit Core</t>
        </is>
      </c>
      <c r="C26" s="10" t="inlineStr">
        <is>
          <t>DoD / Proceso</t>
        </is>
      </c>
      <c r="D26" s="10" t="inlineStr">
        <is>
          <t>Proceso QA - Definition of Done</t>
        </is>
      </c>
      <c r="E26" s="10" t="inlineStr">
        <is>
          <t>Historia candidata a Done cumple QA cases + integración + sin bugs críticos abiertos</t>
        </is>
      </c>
      <c r="F26" s="10" t="inlineStr">
        <is>
          <t>Alinear cierre de historias con Definition of Done del proyecto.</t>
        </is>
      </c>
      <c r="G26" s="10" t="inlineStr">
        <is>
          <t>Proceso</t>
        </is>
      </c>
      <c r="H26" s="10" t="inlineStr">
        <is>
          <t>Media</t>
        </is>
      </c>
      <c r="I26" s="12" t="inlineStr">
        <is>
          <t>Historia desarrollada y review técnica realizada.</t>
        </is>
      </c>
      <c r="J26" s="12" t="inlineStr">
        <is>
          <t>resultado de pruebas / bugs abiertos</t>
        </is>
      </c>
      <c r="K26" s="12" t="inlineStr">
        <is>
          <t>1. Revisar historia finalizada.
2. Confirmar ejecución de pruebas.
3. Verificar evidencia.
4. Confirmar ausencia de bugs críticos.</t>
        </is>
      </c>
      <c r="L26" s="10" t="inlineStr">
        <is>
          <t>La historia solo avanza a Done si cumple validaciones QA e integración definidas en README/flujo del sprint.</t>
        </is>
      </c>
      <c r="M26" s="10" t="inlineStr">
        <is>
          <t>Test Case (Steps)</t>
        </is>
      </c>
      <c r="N26" s="10" t="inlineStr">
        <is>
          <t>Other</t>
        </is>
      </c>
      <c r="O26" s="10" t="inlineStr">
        <is>
          <t>Medium</t>
        </is>
      </c>
      <c r="P26" s="10" t="inlineStr">
        <is>
          <t>README DoD / GitHub Sprint</t>
        </is>
      </c>
      <c r="Q26" s="13" t="inlineStr">
        <is>
          <t>Ready</t>
        </is>
      </c>
      <c r="R26" s="10" t="inlineStr">
        <is>
          <t>Alejandro</t>
        </is>
      </c>
      <c r="S26" s="10" t="inlineStr">
        <is>
          <t>Sprint QA</t>
        </is>
      </c>
      <c r="T26" s="10" t="inlineStr">
        <is>
          <t>Refuerza trazabilidad del proceso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14" customWidth="1" min="5" max="5"/>
    <col width="28" customWidth="1" min="6" max="6"/>
    <col width="38" customWidth="1" min="7" max="7"/>
    <col width="34" customWidth="1" min="8" max="8"/>
    <col width="28" customWidth="1" min="9" max="9"/>
    <col width="18" customWidth="1" min="10" max="10"/>
    <col width="10" customWidth="1" min="11" max="11"/>
    <col width="16" customWidth="1" min="12" max="12"/>
  </cols>
  <sheetData>
    <row r="1" ht="32" customHeight="1">
      <c r="A1" s="16" t="inlineStr">
        <is>
          <t>Title</t>
        </is>
      </c>
      <c r="B1" s="16" t="inlineStr">
        <is>
          <t>Section</t>
        </is>
      </c>
      <c r="C1" s="16" t="inlineStr">
        <is>
          <t>Template</t>
        </is>
      </c>
      <c r="D1" s="16" t="inlineStr">
        <is>
          <t>Type</t>
        </is>
      </c>
      <c r="E1" s="16" t="inlineStr">
        <is>
          <t>Priority</t>
        </is>
      </c>
      <c r="F1" s="16" t="inlineStr">
        <is>
          <t>Preconditions</t>
        </is>
      </c>
      <c r="G1" s="16" t="inlineStr">
        <is>
          <t>Steps</t>
        </is>
      </c>
      <c r="H1" s="16" t="inlineStr">
        <is>
          <t>Expected Result</t>
        </is>
      </c>
      <c r="I1" s="16" t="inlineStr">
        <is>
          <t>References</t>
        </is>
      </c>
      <c r="J1" s="16" t="inlineStr">
        <is>
          <t>Milestone</t>
        </is>
      </c>
      <c r="K1" s="16" t="inlineStr">
        <is>
          <t>Estimate</t>
        </is>
      </c>
      <c r="L1" s="16" t="inlineStr">
        <is>
          <t>Automation Type</t>
        </is>
      </c>
    </row>
    <row r="2">
      <c r="A2" s="10">
        <f>Casos_Prueba!E2</f>
        <v/>
      </c>
      <c r="B2" s="10">
        <f>Casos_Prueba!C2</f>
        <v/>
      </c>
      <c r="C2" s="10">
        <f>Casos_Prueba!M2</f>
        <v/>
      </c>
      <c r="D2" s="10">
        <f>Casos_Prueba!N2</f>
        <v/>
      </c>
      <c r="E2" s="10">
        <f>Casos_Prueba!O2</f>
        <v/>
      </c>
      <c r="F2" s="10">
        <f>Casos_Prueba!I2</f>
        <v/>
      </c>
      <c r="G2" s="10">
        <f>Casos_Prueba!K2</f>
        <v/>
      </c>
      <c r="H2" s="10">
        <f>Casos_Prueba!L2</f>
        <v/>
      </c>
      <c r="I2" s="10">
        <f>Casos_Prueba!P2</f>
        <v/>
      </c>
      <c r="J2" s="10" t="inlineStr">
        <is>
          <t>Sprint QA RiderFit</t>
        </is>
      </c>
      <c r="K2" s="10" t="inlineStr">
        <is>
          <t>15m</t>
        </is>
      </c>
      <c r="L2" s="10" t="inlineStr">
        <is>
          <t>Manual</t>
        </is>
      </c>
    </row>
    <row r="3">
      <c r="A3" s="10">
        <f>Casos_Prueba!E3</f>
        <v/>
      </c>
      <c r="B3" s="10">
        <f>Casos_Prueba!C3</f>
        <v/>
      </c>
      <c r="C3" s="10">
        <f>Casos_Prueba!M3</f>
        <v/>
      </c>
      <c r="D3" s="10">
        <f>Casos_Prueba!N3</f>
        <v/>
      </c>
      <c r="E3" s="10">
        <f>Casos_Prueba!O3</f>
        <v/>
      </c>
      <c r="F3" s="10">
        <f>Casos_Prueba!I3</f>
        <v/>
      </c>
      <c r="G3" s="10">
        <f>Casos_Prueba!K3</f>
        <v/>
      </c>
      <c r="H3" s="10">
        <f>Casos_Prueba!L3</f>
        <v/>
      </c>
      <c r="I3" s="10">
        <f>Casos_Prueba!P3</f>
        <v/>
      </c>
      <c r="J3" s="10" t="inlineStr">
        <is>
          <t>Sprint QA RiderFit</t>
        </is>
      </c>
      <c r="K3" s="10" t="inlineStr">
        <is>
          <t>15m</t>
        </is>
      </c>
      <c r="L3" s="10" t="inlineStr">
        <is>
          <t>Manual</t>
        </is>
      </c>
    </row>
    <row r="4">
      <c r="A4" s="10">
        <f>Casos_Prueba!E4</f>
        <v/>
      </c>
      <c r="B4" s="10">
        <f>Casos_Prueba!C4</f>
        <v/>
      </c>
      <c r="C4" s="10">
        <f>Casos_Prueba!M4</f>
        <v/>
      </c>
      <c r="D4" s="10">
        <f>Casos_Prueba!N4</f>
        <v/>
      </c>
      <c r="E4" s="10">
        <f>Casos_Prueba!O4</f>
        <v/>
      </c>
      <c r="F4" s="10">
        <f>Casos_Prueba!I4</f>
        <v/>
      </c>
      <c r="G4" s="10">
        <f>Casos_Prueba!K4</f>
        <v/>
      </c>
      <c r="H4" s="10">
        <f>Casos_Prueba!L4</f>
        <v/>
      </c>
      <c r="I4" s="10">
        <f>Casos_Prueba!P4</f>
        <v/>
      </c>
      <c r="J4" s="10" t="inlineStr">
        <is>
          <t>Sprint QA RiderFit</t>
        </is>
      </c>
      <c r="K4" s="10" t="inlineStr">
        <is>
          <t>15m</t>
        </is>
      </c>
      <c r="L4" s="10" t="inlineStr">
        <is>
          <t>Manual</t>
        </is>
      </c>
    </row>
    <row r="5">
      <c r="A5" s="10">
        <f>Casos_Prueba!E5</f>
        <v/>
      </c>
      <c r="B5" s="10">
        <f>Casos_Prueba!C5</f>
        <v/>
      </c>
      <c r="C5" s="10">
        <f>Casos_Prueba!M5</f>
        <v/>
      </c>
      <c r="D5" s="10">
        <f>Casos_Prueba!N5</f>
        <v/>
      </c>
      <c r="E5" s="10">
        <f>Casos_Prueba!O5</f>
        <v/>
      </c>
      <c r="F5" s="10">
        <f>Casos_Prueba!I5</f>
        <v/>
      </c>
      <c r="G5" s="10">
        <f>Casos_Prueba!K5</f>
        <v/>
      </c>
      <c r="H5" s="10">
        <f>Casos_Prueba!L5</f>
        <v/>
      </c>
      <c r="I5" s="10">
        <f>Casos_Prueba!P5</f>
        <v/>
      </c>
      <c r="J5" s="10" t="inlineStr">
        <is>
          <t>Sprint QA RiderFit</t>
        </is>
      </c>
      <c r="K5" s="10" t="inlineStr">
        <is>
          <t>15m</t>
        </is>
      </c>
      <c r="L5" s="10" t="inlineStr">
        <is>
          <t>Manual</t>
        </is>
      </c>
    </row>
    <row r="6">
      <c r="A6" s="10">
        <f>Casos_Prueba!E6</f>
        <v/>
      </c>
      <c r="B6" s="10">
        <f>Casos_Prueba!C6</f>
        <v/>
      </c>
      <c r="C6" s="10">
        <f>Casos_Prueba!M6</f>
        <v/>
      </c>
      <c r="D6" s="10">
        <f>Casos_Prueba!N6</f>
        <v/>
      </c>
      <c r="E6" s="10">
        <f>Casos_Prueba!O6</f>
        <v/>
      </c>
      <c r="F6" s="10">
        <f>Casos_Prueba!I6</f>
        <v/>
      </c>
      <c r="G6" s="10">
        <f>Casos_Prueba!K6</f>
        <v/>
      </c>
      <c r="H6" s="10">
        <f>Casos_Prueba!L6</f>
        <v/>
      </c>
      <c r="I6" s="10">
        <f>Casos_Prueba!P6</f>
        <v/>
      </c>
      <c r="J6" s="10" t="inlineStr">
        <is>
          <t>Sprint QA RiderFit</t>
        </is>
      </c>
      <c r="K6" s="10" t="inlineStr">
        <is>
          <t>15m</t>
        </is>
      </c>
      <c r="L6" s="10" t="inlineStr">
        <is>
          <t>Manual</t>
        </is>
      </c>
    </row>
    <row r="7">
      <c r="A7" s="10">
        <f>Casos_Prueba!E7</f>
        <v/>
      </c>
      <c r="B7" s="10">
        <f>Casos_Prueba!C7</f>
        <v/>
      </c>
      <c r="C7" s="10">
        <f>Casos_Prueba!M7</f>
        <v/>
      </c>
      <c r="D7" s="10">
        <f>Casos_Prueba!N7</f>
        <v/>
      </c>
      <c r="E7" s="10">
        <f>Casos_Prueba!O7</f>
        <v/>
      </c>
      <c r="F7" s="10">
        <f>Casos_Prueba!I7</f>
        <v/>
      </c>
      <c r="G7" s="10">
        <f>Casos_Prueba!K7</f>
        <v/>
      </c>
      <c r="H7" s="10">
        <f>Casos_Prueba!L7</f>
        <v/>
      </c>
      <c r="I7" s="10">
        <f>Casos_Prueba!P7</f>
        <v/>
      </c>
      <c r="J7" s="10" t="inlineStr">
        <is>
          <t>Sprint QA RiderFit</t>
        </is>
      </c>
      <c r="K7" s="10" t="inlineStr">
        <is>
          <t>15m</t>
        </is>
      </c>
      <c r="L7" s="10" t="inlineStr">
        <is>
          <t>Manual</t>
        </is>
      </c>
    </row>
    <row r="8">
      <c r="A8" s="10">
        <f>Casos_Prueba!E8</f>
        <v/>
      </c>
      <c r="B8" s="10">
        <f>Casos_Prueba!C8</f>
        <v/>
      </c>
      <c r="C8" s="10">
        <f>Casos_Prueba!M8</f>
        <v/>
      </c>
      <c r="D8" s="10">
        <f>Casos_Prueba!N8</f>
        <v/>
      </c>
      <c r="E8" s="10">
        <f>Casos_Prueba!O8</f>
        <v/>
      </c>
      <c r="F8" s="10">
        <f>Casos_Prueba!I8</f>
        <v/>
      </c>
      <c r="G8" s="10">
        <f>Casos_Prueba!K8</f>
        <v/>
      </c>
      <c r="H8" s="10">
        <f>Casos_Prueba!L8</f>
        <v/>
      </c>
      <c r="I8" s="10">
        <f>Casos_Prueba!P8</f>
        <v/>
      </c>
      <c r="J8" s="10" t="inlineStr">
        <is>
          <t>Sprint QA RiderFit</t>
        </is>
      </c>
      <c r="K8" s="10" t="inlineStr">
        <is>
          <t>15m</t>
        </is>
      </c>
      <c r="L8" s="10" t="inlineStr">
        <is>
          <t>Manual</t>
        </is>
      </c>
    </row>
    <row r="9">
      <c r="A9" s="10">
        <f>Casos_Prueba!E9</f>
        <v/>
      </c>
      <c r="B9" s="10">
        <f>Casos_Prueba!C9</f>
        <v/>
      </c>
      <c r="C9" s="10">
        <f>Casos_Prueba!M9</f>
        <v/>
      </c>
      <c r="D9" s="10">
        <f>Casos_Prueba!N9</f>
        <v/>
      </c>
      <c r="E9" s="10">
        <f>Casos_Prueba!O9</f>
        <v/>
      </c>
      <c r="F9" s="10">
        <f>Casos_Prueba!I9</f>
        <v/>
      </c>
      <c r="G9" s="10">
        <f>Casos_Prueba!K9</f>
        <v/>
      </c>
      <c r="H9" s="10">
        <f>Casos_Prueba!L9</f>
        <v/>
      </c>
      <c r="I9" s="10">
        <f>Casos_Prueba!P9</f>
        <v/>
      </c>
      <c r="J9" s="10" t="inlineStr">
        <is>
          <t>Sprint QA RiderFit</t>
        </is>
      </c>
      <c r="K9" s="10" t="inlineStr">
        <is>
          <t>15m</t>
        </is>
      </c>
      <c r="L9" s="10" t="inlineStr">
        <is>
          <t>Manual</t>
        </is>
      </c>
    </row>
    <row r="10">
      <c r="A10" s="10">
        <f>Casos_Prueba!E10</f>
        <v/>
      </c>
      <c r="B10" s="10">
        <f>Casos_Prueba!C10</f>
        <v/>
      </c>
      <c r="C10" s="10">
        <f>Casos_Prueba!M10</f>
        <v/>
      </c>
      <c r="D10" s="10">
        <f>Casos_Prueba!N10</f>
        <v/>
      </c>
      <c r="E10" s="10">
        <f>Casos_Prueba!O10</f>
        <v/>
      </c>
      <c r="F10" s="10">
        <f>Casos_Prueba!I10</f>
        <v/>
      </c>
      <c r="G10" s="10">
        <f>Casos_Prueba!K10</f>
        <v/>
      </c>
      <c r="H10" s="10">
        <f>Casos_Prueba!L10</f>
        <v/>
      </c>
      <c r="I10" s="10">
        <f>Casos_Prueba!P10</f>
        <v/>
      </c>
      <c r="J10" s="10" t="inlineStr">
        <is>
          <t>Sprint QA RiderFit</t>
        </is>
      </c>
      <c r="K10" s="10" t="inlineStr">
        <is>
          <t>15m</t>
        </is>
      </c>
      <c r="L10" s="10" t="inlineStr">
        <is>
          <t>Manual</t>
        </is>
      </c>
    </row>
    <row r="11">
      <c r="A11" s="10">
        <f>Casos_Prueba!E11</f>
        <v/>
      </c>
      <c r="B11" s="10">
        <f>Casos_Prueba!C11</f>
        <v/>
      </c>
      <c r="C11" s="10">
        <f>Casos_Prueba!M11</f>
        <v/>
      </c>
      <c r="D11" s="10">
        <f>Casos_Prueba!N11</f>
        <v/>
      </c>
      <c r="E11" s="10">
        <f>Casos_Prueba!O11</f>
        <v/>
      </c>
      <c r="F11" s="10">
        <f>Casos_Prueba!I11</f>
        <v/>
      </c>
      <c r="G11" s="10">
        <f>Casos_Prueba!K11</f>
        <v/>
      </c>
      <c r="H11" s="10">
        <f>Casos_Prueba!L11</f>
        <v/>
      </c>
      <c r="I11" s="10">
        <f>Casos_Prueba!P11</f>
        <v/>
      </c>
      <c r="J11" s="10" t="inlineStr">
        <is>
          <t>Sprint QA RiderFit</t>
        </is>
      </c>
      <c r="K11" s="10" t="inlineStr">
        <is>
          <t>15m</t>
        </is>
      </c>
      <c r="L11" s="10" t="inlineStr">
        <is>
          <t>Manual</t>
        </is>
      </c>
    </row>
    <row r="12">
      <c r="A12" s="10">
        <f>Casos_Prueba!E12</f>
        <v/>
      </c>
      <c r="B12" s="10">
        <f>Casos_Prueba!C12</f>
        <v/>
      </c>
      <c r="C12" s="10">
        <f>Casos_Prueba!M12</f>
        <v/>
      </c>
      <c r="D12" s="10">
        <f>Casos_Prueba!N12</f>
        <v/>
      </c>
      <c r="E12" s="10">
        <f>Casos_Prueba!O12</f>
        <v/>
      </c>
      <c r="F12" s="10">
        <f>Casos_Prueba!I12</f>
        <v/>
      </c>
      <c r="G12" s="10">
        <f>Casos_Prueba!K12</f>
        <v/>
      </c>
      <c r="H12" s="10">
        <f>Casos_Prueba!L12</f>
        <v/>
      </c>
      <c r="I12" s="10">
        <f>Casos_Prueba!P12</f>
        <v/>
      </c>
      <c r="J12" s="10" t="inlineStr">
        <is>
          <t>Sprint QA RiderFit</t>
        </is>
      </c>
      <c r="K12" s="10" t="inlineStr">
        <is>
          <t>15m</t>
        </is>
      </c>
      <c r="L12" s="10" t="inlineStr">
        <is>
          <t>Manual</t>
        </is>
      </c>
    </row>
    <row r="13">
      <c r="A13" s="10">
        <f>Casos_Prueba!E13</f>
        <v/>
      </c>
      <c r="B13" s="10">
        <f>Casos_Prueba!C13</f>
        <v/>
      </c>
      <c r="C13" s="10">
        <f>Casos_Prueba!M13</f>
        <v/>
      </c>
      <c r="D13" s="10">
        <f>Casos_Prueba!N13</f>
        <v/>
      </c>
      <c r="E13" s="10">
        <f>Casos_Prueba!O13</f>
        <v/>
      </c>
      <c r="F13" s="10">
        <f>Casos_Prueba!I13</f>
        <v/>
      </c>
      <c r="G13" s="10">
        <f>Casos_Prueba!K13</f>
        <v/>
      </c>
      <c r="H13" s="10">
        <f>Casos_Prueba!L13</f>
        <v/>
      </c>
      <c r="I13" s="10">
        <f>Casos_Prueba!P13</f>
        <v/>
      </c>
      <c r="J13" s="10" t="inlineStr">
        <is>
          <t>Sprint QA RiderFit</t>
        </is>
      </c>
      <c r="K13" s="10" t="inlineStr">
        <is>
          <t>15m</t>
        </is>
      </c>
      <c r="L13" s="10" t="inlineStr">
        <is>
          <t>Manual</t>
        </is>
      </c>
    </row>
    <row r="14">
      <c r="A14" s="10">
        <f>Casos_Prueba!E14</f>
        <v/>
      </c>
      <c r="B14" s="10">
        <f>Casos_Prueba!C14</f>
        <v/>
      </c>
      <c r="C14" s="10">
        <f>Casos_Prueba!M14</f>
        <v/>
      </c>
      <c r="D14" s="10">
        <f>Casos_Prueba!N14</f>
        <v/>
      </c>
      <c r="E14" s="10">
        <f>Casos_Prueba!O14</f>
        <v/>
      </c>
      <c r="F14" s="10">
        <f>Casos_Prueba!I14</f>
        <v/>
      </c>
      <c r="G14" s="10">
        <f>Casos_Prueba!K14</f>
        <v/>
      </c>
      <c r="H14" s="10">
        <f>Casos_Prueba!L14</f>
        <v/>
      </c>
      <c r="I14" s="10">
        <f>Casos_Prueba!P14</f>
        <v/>
      </c>
      <c r="J14" s="10" t="inlineStr">
        <is>
          <t>Sprint QA RiderFit</t>
        </is>
      </c>
      <c r="K14" s="10" t="inlineStr">
        <is>
          <t>15m</t>
        </is>
      </c>
      <c r="L14" s="10" t="inlineStr">
        <is>
          <t>Manual</t>
        </is>
      </c>
    </row>
    <row r="15">
      <c r="A15" s="10">
        <f>Casos_Prueba!E15</f>
        <v/>
      </c>
      <c r="B15" s="10">
        <f>Casos_Prueba!C15</f>
        <v/>
      </c>
      <c r="C15" s="10">
        <f>Casos_Prueba!M15</f>
        <v/>
      </c>
      <c r="D15" s="10">
        <f>Casos_Prueba!N15</f>
        <v/>
      </c>
      <c r="E15" s="10">
        <f>Casos_Prueba!O15</f>
        <v/>
      </c>
      <c r="F15" s="10">
        <f>Casos_Prueba!I15</f>
        <v/>
      </c>
      <c r="G15" s="10">
        <f>Casos_Prueba!K15</f>
        <v/>
      </c>
      <c r="H15" s="10">
        <f>Casos_Prueba!L15</f>
        <v/>
      </c>
      <c r="I15" s="10">
        <f>Casos_Prueba!P15</f>
        <v/>
      </c>
      <c r="J15" s="10" t="inlineStr">
        <is>
          <t>Sprint QA RiderFit</t>
        </is>
      </c>
      <c r="K15" s="10" t="inlineStr">
        <is>
          <t>15m</t>
        </is>
      </c>
      <c r="L15" s="10" t="inlineStr">
        <is>
          <t>Manual</t>
        </is>
      </c>
    </row>
    <row r="16">
      <c r="A16" s="10">
        <f>Casos_Prueba!E16</f>
        <v/>
      </c>
      <c r="B16" s="10">
        <f>Casos_Prueba!C16</f>
        <v/>
      </c>
      <c r="C16" s="10">
        <f>Casos_Prueba!M16</f>
        <v/>
      </c>
      <c r="D16" s="10">
        <f>Casos_Prueba!N16</f>
        <v/>
      </c>
      <c r="E16" s="10">
        <f>Casos_Prueba!O16</f>
        <v/>
      </c>
      <c r="F16" s="10">
        <f>Casos_Prueba!I16</f>
        <v/>
      </c>
      <c r="G16" s="10">
        <f>Casos_Prueba!K16</f>
        <v/>
      </c>
      <c r="H16" s="10">
        <f>Casos_Prueba!L16</f>
        <v/>
      </c>
      <c r="I16" s="10">
        <f>Casos_Prueba!P16</f>
        <v/>
      </c>
      <c r="J16" s="10" t="inlineStr">
        <is>
          <t>Sprint QA RiderFit</t>
        </is>
      </c>
      <c r="K16" s="10" t="inlineStr">
        <is>
          <t>15m</t>
        </is>
      </c>
      <c r="L16" s="10" t="inlineStr">
        <is>
          <t>Manual</t>
        </is>
      </c>
    </row>
    <row r="17">
      <c r="A17" s="10">
        <f>Casos_Prueba!E17</f>
        <v/>
      </c>
      <c r="B17" s="10">
        <f>Casos_Prueba!C17</f>
        <v/>
      </c>
      <c r="C17" s="10">
        <f>Casos_Prueba!M17</f>
        <v/>
      </c>
      <c r="D17" s="10">
        <f>Casos_Prueba!N17</f>
        <v/>
      </c>
      <c r="E17" s="10">
        <f>Casos_Prueba!O17</f>
        <v/>
      </c>
      <c r="F17" s="10">
        <f>Casos_Prueba!I17</f>
        <v/>
      </c>
      <c r="G17" s="10">
        <f>Casos_Prueba!K17</f>
        <v/>
      </c>
      <c r="H17" s="10">
        <f>Casos_Prueba!L17</f>
        <v/>
      </c>
      <c r="I17" s="10">
        <f>Casos_Prueba!P17</f>
        <v/>
      </c>
      <c r="J17" s="10" t="inlineStr">
        <is>
          <t>Sprint QA RiderFit</t>
        </is>
      </c>
      <c r="K17" s="10" t="inlineStr">
        <is>
          <t>15m</t>
        </is>
      </c>
      <c r="L17" s="10" t="inlineStr">
        <is>
          <t>Manual</t>
        </is>
      </c>
    </row>
    <row r="18">
      <c r="A18" s="10">
        <f>Casos_Prueba!E18</f>
        <v/>
      </c>
      <c r="B18" s="10">
        <f>Casos_Prueba!C18</f>
        <v/>
      </c>
      <c r="C18" s="10">
        <f>Casos_Prueba!M18</f>
        <v/>
      </c>
      <c r="D18" s="10">
        <f>Casos_Prueba!N18</f>
        <v/>
      </c>
      <c r="E18" s="10">
        <f>Casos_Prueba!O18</f>
        <v/>
      </c>
      <c r="F18" s="10">
        <f>Casos_Prueba!I18</f>
        <v/>
      </c>
      <c r="G18" s="10">
        <f>Casos_Prueba!K18</f>
        <v/>
      </c>
      <c r="H18" s="10">
        <f>Casos_Prueba!L18</f>
        <v/>
      </c>
      <c r="I18" s="10">
        <f>Casos_Prueba!P18</f>
        <v/>
      </c>
      <c r="J18" s="10" t="inlineStr">
        <is>
          <t>Sprint QA RiderFit</t>
        </is>
      </c>
      <c r="K18" s="10" t="inlineStr">
        <is>
          <t>15m</t>
        </is>
      </c>
      <c r="L18" s="10" t="inlineStr">
        <is>
          <t>Manual</t>
        </is>
      </c>
    </row>
    <row r="19">
      <c r="A19" s="10">
        <f>Casos_Prueba!E19</f>
        <v/>
      </c>
      <c r="B19" s="10">
        <f>Casos_Prueba!C19</f>
        <v/>
      </c>
      <c r="C19" s="10">
        <f>Casos_Prueba!M19</f>
        <v/>
      </c>
      <c r="D19" s="10">
        <f>Casos_Prueba!N19</f>
        <v/>
      </c>
      <c r="E19" s="10">
        <f>Casos_Prueba!O19</f>
        <v/>
      </c>
      <c r="F19" s="10">
        <f>Casos_Prueba!I19</f>
        <v/>
      </c>
      <c r="G19" s="10">
        <f>Casos_Prueba!K19</f>
        <v/>
      </c>
      <c r="H19" s="10">
        <f>Casos_Prueba!L19</f>
        <v/>
      </c>
      <c r="I19" s="10">
        <f>Casos_Prueba!P19</f>
        <v/>
      </c>
      <c r="J19" s="10" t="inlineStr">
        <is>
          <t>Sprint QA RiderFit</t>
        </is>
      </c>
      <c r="K19" s="10" t="inlineStr">
        <is>
          <t>15m</t>
        </is>
      </c>
      <c r="L19" s="10" t="inlineStr">
        <is>
          <t>Manual</t>
        </is>
      </c>
    </row>
    <row r="20">
      <c r="A20" s="10">
        <f>Casos_Prueba!E20</f>
        <v/>
      </c>
      <c r="B20" s="10">
        <f>Casos_Prueba!C20</f>
        <v/>
      </c>
      <c r="C20" s="10">
        <f>Casos_Prueba!M20</f>
        <v/>
      </c>
      <c r="D20" s="10">
        <f>Casos_Prueba!N20</f>
        <v/>
      </c>
      <c r="E20" s="10">
        <f>Casos_Prueba!O20</f>
        <v/>
      </c>
      <c r="F20" s="10">
        <f>Casos_Prueba!I20</f>
        <v/>
      </c>
      <c r="G20" s="10">
        <f>Casos_Prueba!K20</f>
        <v/>
      </c>
      <c r="H20" s="10">
        <f>Casos_Prueba!L20</f>
        <v/>
      </c>
      <c r="I20" s="10">
        <f>Casos_Prueba!P20</f>
        <v/>
      </c>
      <c r="J20" s="10" t="inlineStr">
        <is>
          <t>Sprint QA RiderFit</t>
        </is>
      </c>
      <c r="K20" s="10" t="inlineStr">
        <is>
          <t>15m</t>
        </is>
      </c>
      <c r="L20" s="10" t="inlineStr">
        <is>
          <t>Manual</t>
        </is>
      </c>
    </row>
    <row r="21">
      <c r="A21" s="10">
        <f>Casos_Prueba!E21</f>
        <v/>
      </c>
      <c r="B21" s="10">
        <f>Casos_Prueba!C21</f>
        <v/>
      </c>
      <c r="C21" s="10">
        <f>Casos_Prueba!M21</f>
        <v/>
      </c>
      <c r="D21" s="10">
        <f>Casos_Prueba!N21</f>
        <v/>
      </c>
      <c r="E21" s="10">
        <f>Casos_Prueba!O21</f>
        <v/>
      </c>
      <c r="F21" s="10">
        <f>Casos_Prueba!I21</f>
        <v/>
      </c>
      <c r="G21" s="10">
        <f>Casos_Prueba!K21</f>
        <v/>
      </c>
      <c r="H21" s="10">
        <f>Casos_Prueba!L21</f>
        <v/>
      </c>
      <c r="I21" s="10">
        <f>Casos_Prueba!P21</f>
        <v/>
      </c>
      <c r="J21" s="10" t="inlineStr">
        <is>
          <t>Sprint QA RiderFit</t>
        </is>
      </c>
      <c r="K21" s="10" t="inlineStr">
        <is>
          <t>15m</t>
        </is>
      </c>
      <c r="L21" s="10" t="inlineStr">
        <is>
          <t>Manual</t>
        </is>
      </c>
    </row>
    <row r="22">
      <c r="A22" s="10">
        <f>Casos_Prueba!E22</f>
        <v/>
      </c>
      <c r="B22" s="10">
        <f>Casos_Prueba!C22</f>
        <v/>
      </c>
      <c r="C22" s="10">
        <f>Casos_Prueba!M22</f>
        <v/>
      </c>
      <c r="D22" s="10">
        <f>Casos_Prueba!N22</f>
        <v/>
      </c>
      <c r="E22" s="10">
        <f>Casos_Prueba!O22</f>
        <v/>
      </c>
      <c r="F22" s="10">
        <f>Casos_Prueba!I22</f>
        <v/>
      </c>
      <c r="G22" s="10">
        <f>Casos_Prueba!K22</f>
        <v/>
      </c>
      <c r="H22" s="10">
        <f>Casos_Prueba!L22</f>
        <v/>
      </c>
      <c r="I22" s="10">
        <f>Casos_Prueba!P22</f>
        <v/>
      </c>
      <c r="J22" s="10" t="inlineStr">
        <is>
          <t>Sprint QA RiderFit</t>
        </is>
      </c>
      <c r="K22" s="10" t="inlineStr">
        <is>
          <t>15m</t>
        </is>
      </c>
      <c r="L22" s="10" t="inlineStr">
        <is>
          <t>Manual</t>
        </is>
      </c>
    </row>
    <row r="23">
      <c r="A23" s="10">
        <f>Casos_Prueba!E23</f>
        <v/>
      </c>
      <c r="B23" s="10">
        <f>Casos_Prueba!C23</f>
        <v/>
      </c>
      <c r="C23" s="10">
        <f>Casos_Prueba!M23</f>
        <v/>
      </c>
      <c r="D23" s="10">
        <f>Casos_Prueba!N23</f>
        <v/>
      </c>
      <c r="E23" s="10">
        <f>Casos_Prueba!O23</f>
        <v/>
      </c>
      <c r="F23" s="10">
        <f>Casos_Prueba!I23</f>
        <v/>
      </c>
      <c r="G23" s="10">
        <f>Casos_Prueba!K23</f>
        <v/>
      </c>
      <c r="H23" s="10">
        <f>Casos_Prueba!L23</f>
        <v/>
      </c>
      <c r="I23" s="10">
        <f>Casos_Prueba!P23</f>
        <v/>
      </c>
      <c r="J23" s="10" t="inlineStr">
        <is>
          <t>Sprint QA RiderFit</t>
        </is>
      </c>
      <c r="K23" s="10" t="inlineStr">
        <is>
          <t>15m</t>
        </is>
      </c>
      <c r="L23" s="10" t="inlineStr">
        <is>
          <t>Manual</t>
        </is>
      </c>
    </row>
    <row r="24">
      <c r="A24" s="10">
        <f>Casos_Prueba!E24</f>
        <v/>
      </c>
      <c r="B24" s="10">
        <f>Casos_Prueba!C24</f>
        <v/>
      </c>
      <c r="C24" s="10">
        <f>Casos_Prueba!M24</f>
        <v/>
      </c>
      <c r="D24" s="10">
        <f>Casos_Prueba!N24</f>
        <v/>
      </c>
      <c r="E24" s="10">
        <f>Casos_Prueba!O24</f>
        <v/>
      </c>
      <c r="F24" s="10">
        <f>Casos_Prueba!I24</f>
        <v/>
      </c>
      <c r="G24" s="10">
        <f>Casos_Prueba!K24</f>
        <v/>
      </c>
      <c r="H24" s="10">
        <f>Casos_Prueba!L24</f>
        <v/>
      </c>
      <c r="I24" s="10">
        <f>Casos_Prueba!P24</f>
        <v/>
      </c>
      <c r="J24" s="10" t="inlineStr">
        <is>
          <t>Sprint QA RiderFit</t>
        </is>
      </c>
      <c r="K24" s="10" t="inlineStr">
        <is>
          <t>15m</t>
        </is>
      </c>
      <c r="L24" s="10" t="inlineStr">
        <is>
          <t>Manual</t>
        </is>
      </c>
    </row>
    <row r="25">
      <c r="A25" s="10">
        <f>Casos_Prueba!E25</f>
        <v/>
      </c>
      <c r="B25" s="10">
        <f>Casos_Prueba!C25</f>
        <v/>
      </c>
      <c r="C25" s="10">
        <f>Casos_Prueba!M25</f>
        <v/>
      </c>
      <c r="D25" s="10">
        <f>Casos_Prueba!N25</f>
        <v/>
      </c>
      <c r="E25" s="10">
        <f>Casos_Prueba!O25</f>
        <v/>
      </c>
      <c r="F25" s="10">
        <f>Casos_Prueba!I25</f>
        <v/>
      </c>
      <c r="G25" s="10">
        <f>Casos_Prueba!K25</f>
        <v/>
      </c>
      <c r="H25" s="10">
        <f>Casos_Prueba!L25</f>
        <v/>
      </c>
      <c r="I25" s="10">
        <f>Casos_Prueba!P25</f>
        <v/>
      </c>
      <c r="J25" s="10" t="inlineStr">
        <is>
          <t>Sprint QA RiderFit</t>
        </is>
      </c>
      <c r="K25" s="10" t="inlineStr">
        <is>
          <t>15m</t>
        </is>
      </c>
      <c r="L25" s="10" t="inlineStr">
        <is>
          <t>Manual</t>
        </is>
      </c>
    </row>
    <row r="26">
      <c r="A26" s="10">
        <f>Casos_Prueba!E26</f>
        <v/>
      </c>
      <c r="B26" s="10">
        <f>Casos_Prueba!C26</f>
        <v/>
      </c>
      <c r="C26" s="10">
        <f>Casos_Prueba!M26</f>
        <v/>
      </c>
      <c r="D26" s="10">
        <f>Casos_Prueba!N26</f>
        <v/>
      </c>
      <c r="E26" s="10">
        <f>Casos_Prueba!O26</f>
        <v/>
      </c>
      <c r="F26" s="10">
        <f>Casos_Prueba!I26</f>
        <v/>
      </c>
      <c r="G26" s="10">
        <f>Casos_Prueba!K26</f>
        <v/>
      </c>
      <c r="H26" s="10">
        <f>Casos_Prueba!L26</f>
        <v/>
      </c>
      <c r="I26" s="10">
        <f>Casos_Prueba!P26</f>
        <v/>
      </c>
      <c r="J26" s="10" t="inlineStr">
        <is>
          <t>Sprint QA RiderFit</t>
        </is>
      </c>
      <c r="K26" s="10" t="inlineStr">
        <is>
          <t>15m</t>
        </is>
      </c>
      <c r="L26" s="10" t="inlineStr">
        <is>
          <t>Manual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7" t="inlineStr">
        <is>
          <t>Priority</t>
        </is>
      </c>
      <c r="B1" s="17" t="inlineStr">
        <is>
          <t>Type</t>
        </is>
      </c>
      <c r="C1" s="17" t="inlineStr">
        <is>
          <t>Design Status</t>
        </is>
      </c>
      <c r="D1" s="17" t="inlineStr">
        <is>
          <t>TestRail Type</t>
        </is>
      </c>
      <c r="E1" s="17" t="inlineStr">
        <is>
          <t>TestRail Template</t>
        </is>
      </c>
    </row>
    <row r="2">
      <c r="A2" s="18" t="inlineStr">
        <is>
          <t>Crítica</t>
        </is>
      </c>
      <c r="B2" s="18" t="inlineStr">
        <is>
          <t>Funcional</t>
        </is>
      </c>
      <c r="C2" s="18" t="inlineStr">
        <is>
          <t>Draft</t>
        </is>
      </c>
      <c r="D2" s="18" t="inlineStr">
        <is>
          <t>Functional</t>
        </is>
      </c>
      <c r="E2" s="18" t="inlineStr">
        <is>
          <t>Test Case (Steps)</t>
        </is>
      </c>
    </row>
    <row r="3">
      <c r="A3" s="18" t="inlineStr">
        <is>
          <t>Alta</t>
        </is>
      </c>
      <c r="B3" s="18" t="inlineStr">
        <is>
          <t>Integración</t>
        </is>
      </c>
      <c r="C3" s="18" t="inlineStr">
        <is>
          <t>Ready</t>
        </is>
      </c>
      <c r="D3" s="18" t="inlineStr">
        <is>
          <t>Regression</t>
        </is>
      </c>
      <c r="E3" s="18" t="inlineStr">
        <is>
          <t>Exploratory Session</t>
        </is>
      </c>
    </row>
    <row r="4">
      <c r="A4" s="18" t="inlineStr">
        <is>
          <t>Media</t>
        </is>
      </c>
      <c r="B4" s="18" t="inlineStr">
        <is>
          <t>Seguridad</t>
        </is>
      </c>
      <c r="C4" s="18" t="inlineStr">
        <is>
          <t>Blocked</t>
        </is>
      </c>
      <c r="D4" s="18" t="inlineStr">
        <is>
          <t>API</t>
        </is>
      </c>
      <c r="E4" s="18" t="inlineStr">
        <is>
          <t>Checklist</t>
        </is>
      </c>
    </row>
    <row r="5">
      <c r="A5" s="18" t="inlineStr">
        <is>
          <t>Baja</t>
        </is>
      </c>
      <c r="B5" s="18" t="inlineStr">
        <is>
          <t>Negativa</t>
        </is>
      </c>
      <c r="C5" s="18" t="inlineStr">
        <is>
          <t>Deprecated</t>
        </is>
      </c>
      <c r="D5" s="18" t="inlineStr">
        <is>
          <t>UI</t>
        </is>
      </c>
    </row>
    <row r="6">
      <c r="B6" s="18" t="inlineStr">
        <is>
          <t>Smoke</t>
        </is>
      </c>
      <c r="D6" s="18" t="inlineStr">
        <is>
          <t>Security</t>
        </is>
      </c>
    </row>
    <row r="7">
      <c r="B7" s="18" t="inlineStr">
        <is>
          <t>Visual</t>
        </is>
      </c>
      <c r="D7" s="18" t="inlineStr">
        <is>
          <t>Smoke</t>
        </is>
      </c>
    </row>
    <row r="8">
      <c r="B8" s="18" t="inlineStr">
        <is>
          <t>Integridad</t>
        </is>
      </c>
      <c r="D8" s="18" t="inlineStr">
        <is>
          <t>Documentation</t>
        </is>
      </c>
    </row>
    <row r="9">
      <c r="B9" s="18" t="inlineStr">
        <is>
          <t>Exploratoria</t>
        </is>
      </c>
      <c r="D9" s="18" t="inlineStr">
        <is>
          <t>Exploratory</t>
        </is>
      </c>
    </row>
    <row r="10">
      <c r="B10" s="18" t="inlineStr">
        <is>
          <t>Proceso</t>
        </is>
      </c>
      <c r="D10" s="1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2026-03-06T17:17:08Z</dcterms:created>
  <dcterms:modified xmlns:dcterms="http://purl.org/dc/terms/" xmlns:xsi="http://www.w3.org/2001/XMLSchema-instance" xsi:type="dcterms:W3CDTF">2026-03-06T17:21:17Z</dcterms:modified>
</cp:coreProperties>
</file>